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ory" sheetId="1" r:id="rId4"/>
    <sheet state="visible" name="ETERNAL P L" sheetId="2" r:id="rId5"/>
    <sheet state="visible" name="ETERNAL BALANCE SHEET" sheetId="3" r:id="rId6"/>
    <sheet state="visible" name="EPS, RPS, MARKET CAP, EV" sheetId="4" r:id="rId7"/>
    <sheet state="visible" name="ETERAL MULTIPLES" sheetId="5" r:id="rId8"/>
    <sheet state="visible" name="VALUATION" sheetId="6" r:id="rId9"/>
  </sheets>
  <externalReferences>
    <externalReference r:id="rId10"/>
  </externalReferences>
  <definedNames/>
  <calcPr/>
  <extLst>
    <ext uri="GoogleSheetsCustomDataVersion2">
      <go:sheetsCustomData xmlns:go="http://customooxmlschemas.google.com/" r:id="rId11" roundtripDataChecksum="M6vECApmTNbP6BfDwqyehljHIjnLruxQR0Eh/qlnPOA="/>
    </ext>
  </extLst>
</workbook>
</file>

<file path=xl/sharedStrings.xml><?xml version="1.0" encoding="utf-8"?>
<sst xmlns="http://schemas.openxmlformats.org/spreadsheetml/2006/main" count="332" uniqueCount="253">
  <si>
    <t>Market Multiples</t>
  </si>
  <si>
    <t>Equity Multiples</t>
  </si>
  <si>
    <t>Enterprise Multiples</t>
  </si>
  <si>
    <t>Market multiples (or valuation multiples) are financial ratios used to quickly estimate a company's value by comparing it to similar publicly traded firms or recent industry transactions. They divide a company's market or enterprise value by a specific financial metric (like earnings or revenue) to show what investors are willing to pay per unit of that metric.</t>
  </si>
  <si>
    <t>These measure the value of the portion of the business belonging strictly to shareholders. The most common metrics use Equity Value (Market Capitalization) in the numerator.</t>
  </si>
  <si>
    <t>These assess the total value of the business (debt + equity) available to all capital providers. They pair Enterprise Value (EV) in the numerator with metrics unaffected by debt and interest expenses.</t>
  </si>
  <si>
    <t>Enterprise Value</t>
  </si>
  <si>
    <t>Price-to-Earnings Ratio (P/E)</t>
  </si>
  <si>
    <t>EV/EBITDA</t>
  </si>
  <si>
    <t>Enterprise Value (EV) represents a company's total economic value, effectively acting as the theoretical "takeover price" if an investor were to buy the entire business. Unlike Market Capitalization (which only measures the value of a company's equity), EV reflects the total value of both equity and debt, minus the cash the buyer would inherit.
Formula: Market Cap + Total Debt - CCE</t>
  </si>
  <si>
    <t xml:space="preserve">Formula: Share Price/Earnings Per Share OR Market Cap/Net Income
Earnings Per Share = net profit or loss for the year attributable to equity
shareholders of the Parent Company/weighted
average number of equity shares outstanding during
the year.
This measures how much investors are willing to pay for $1 of a company's earnings.
</t>
  </si>
  <si>
    <t xml:space="preserve">Formula: Enterprise Value/EBITDA
The most widely used enterprise multiple because it normalizes profitability across companies with different tax, depreciation, and debt structures.
</t>
  </si>
  <si>
    <t>Price-to-Sales Ratio (P/S)</t>
  </si>
  <si>
    <t>EV/EBIT</t>
  </si>
  <si>
    <t xml:space="preserve">Formula: Share Price/Revenue Per Share OR Market Cap/Total Revenue
Revenue Per Share = Total Revenue from operations/weighted
average number of equity shares outstanding during
the year.
This measures how much investors are willing to pay for $1 of a company's earnings.
</t>
  </si>
  <si>
    <t xml:space="preserve">Formula: Enterprise Value/EBIT
Similar to EV/EBITDA, but accounts for depreciation and amortization, making it useful for capital-heavy industries.
</t>
  </si>
  <si>
    <t>EV/Revenue</t>
  </si>
  <si>
    <t xml:space="preserve">Formula: Enterprise Value/Total Revenue
A strict revenue comparison that ignores profitability entirely.
</t>
  </si>
  <si>
    <t xml:space="preserve">ETERNAL P/L STATEMENT </t>
  </si>
  <si>
    <t>All Figures in ₹ Cr</t>
  </si>
  <si>
    <t>Particulars</t>
  </si>
  <si>
    <t>FY2023</t>
  </si>
  <si>
    <t>FY2024</t>
  </si>
  <si>
    <t>FY2025</t>
  </si>
  <si>
    <t>Sale of service</t>
  </si>
  <si>
    <t>Service revenue</t>
  </si>
  <si>
    <t>Royalty income</t>
  </si>
  <si>
    <t>Sale of goods</t>
  </si>
  <si>
    <t>Revenue from sale of traded goods</t>
  </si>
  <si>
    <t>Other operating revenues</t>
  </si>
  <si>
    <t>Revenue from operations</t>
  </si>
  <si>
    <t>Other Income</t>
  </si>
  <si>
    <t>Total Income</t>
  </si>
  <si>
    <t xml:space="preserve">% Change </t>
  </si>
  <si>
    <t>Delivery and related charges</t>
  </si>
  <si>
    <t>Payment gateway charges</t>
  </si>
  <si>
    <t>Outsourced support cost</t>
  </si>
  <si>
    <t>Power and fuel</t>
  </si>
  <si>
    <t>Purchases of SIT</t>
  </si>
  <si>
    <t>Changes in inventories (finished/semi-finished/SIT/WIP)</t>
  </si>
  <si>
    <t>COGS</t>
  </si>
  <si>
    <t>% Change</t>
  </si>
  <si>
    <t>Gross Profit</t>
  </si>
  <si>
    <t>% Gross Margin</t>
  </si>
  <si>
    <t>% Change (for Gross Profit)</t>
  </si>
  <si>
    <t>Advertisement and sales promotion</t>
  </si>
  <si>
    <t>Event infrastructure and artist fee</t>
  </si>
  <si>
    <t>Selling and marketing expenses</t>
  </si>
  <si>
    <t>Server and communication cost</t>
  </si>
  <si>
    <t>Rent</t>
  </si>
  <si>
    <t>Repairs and maintenance</t>
  </si>
  <si>
    <t>Postage and courier cost</t>
  </si>
  <si>
    <t>Foreign exchange loss (net)</t>
  </si>
  <si>
    <t>Amount written off (net)</t>
  </si>
  <si>
    <t>Bad debts written-off (net)</t>
  </si>
  <si>
    <t>Provision for doubtful debts and advances</t>
  </si>
  <si>
    <t>Miscellaneous expenses</t>
  </si>
  <si>
    <t>General expenses</t>
  </si>
  <si>
    <t>Salaries and wages</t>
  </si>
  <si>
    <t>Contribution to PF and other funds</t>
  </si>
  <si>
    <t>Staff welfare expenses</t>
  </si>
  <si>
    <t>Gratuity expenses</t>
  </si>
  <si>
    <t>Share based payment expense</t>
  </si>
  <si>
    <t>Tax and rates</t>
  </si>
  <si>
    <t>Insurance</t>
  </si>
  <si>
    <t>IT support services</t>
  </si>
  <si>
    <t>Legal and professional fee</t>
  </si>
  <si>
    <t>Travelling and conveyance</t>
  </si>
  <si>
    <t>Recruitment cost</t>
  </si>
  <si>
    <t>Security expense</t>
  </si>
  <si>
    <t>Payment to auditors</t>
  </si>
  <si>
    <t>Administrative expenses</t>
  </si>
  <si>
    <t>Total SG&amp;A expenses</t>
  </si>
  <si>
    <t>EBITDA</t>
  </si>
  <si>
    <t>Depreciation on property, plant and equipment</t>
  </si>
  <si>
    <t>Amortisation of intangible assets</t>
  </si>
  <si>
    <t>Depreciation on right-of-use assets</t>
  </si>
  <si>
    <t>Depreciation and amortisation expense</t>
  </si>
  <si>
    <t>EBIT</t>
  </si>
  <si>
    <t>Interest to others</t>
  </si>
  <si>
    <t>Interest on lease liabilities</t>
  </si>
  <si>
    <t>Others</t>
  </si>
  <si>
    <t>Finance costs</t>
  </si>
  <si>
    <t>Profit Before Tax and Exceptional Items</t>
  </si>
  <si>
    <t>Closure of subsidiaries / joint ventures</t>
  </si>
  <si>
    <t>Less: provision for impairment in value of investment in subsidiaries / joint ventures</t>
  </si>
  <si>
    <t>Total exceptional items</t>
  </si>
  <si>
    <t>PBT</t>
  </si>
  <si>
    <t>Current Tax</t>
  </si>
  <si>
    <t>Deferred Tax</t>
  </si>
  <si>
    <t>Total Tax Expense</t>
  </si>
  <si>
    <t>PAT</t>
  </si>
  <si>
    <t xml:space="preserve">ETERNAL BALANCE SHEET </t>
  </si>
  <si>
    <t>Ref</t>
  </si>
  <si>
    <t>Assets</t>
  </si>
  <si>
    <t>I</t>
  </si>
  <si>
    <t>Non-current assets</t>
  </si>
  <si>
    <t>(a)</t>
  </si>
  <si>
    <t>Property, plant and equipment</t>
  </si>
  <si>
    <t>(b)</t>
  </si>
  <si>
    <t>Capital work-in-progress</t>
  </si>
  <si>
    <t>(c)</t>
  </si>
  <si>
    <t>Right-of-use assets</t>
  </si>
  <si>
    <t>(d)</t>
  </si>
  <si>
    <t>Goodwill</t>
  </si>
  <si>
    <t>(e)</t>
  </si>
  <si>
    <t>Other intangible assets</t>
  </si>
  <si>
    <t>(f)</t>
  </si>
  <si>
    <t>Financial assets</t>
  </si>
  <si>
    <t>(i)</t>
  </si>
  <si>
    <t>Investments</t>
  </si>
  <si>
    <t>(ii)</t>
  </si>
  <si>
    <t>Loans</t>
  </si>
  <si>
    <t>(iii)</t>
  </si>
  <si>
    <t>Other financial assets</t>
  </si>
  <si>
    <t>(g)</t>
  </si>
  <si>
    <t>Non-current tax assets (net)</t>
  </si>
  <si>
    <t>(h)</t>
  </si>
  <si>
    <t>Other assets</t>
  </si>
  <si>
    <t>Total non-current assets</t>
  </si>
  <si>
    <t>II</t>
  </si>
  <si>
    <t>Current assets</t>
  </si>
  <si>
    <t>Inventories</t>
  </si>
  <si>
    <t>Trade receivables</t>
  </si>
  <si>
    <t>Cash and cash equivalents</t>
  </si>
  <si>
    <t>(iv)</t>
  </si>
  <si>
    <t>Other balances with banks</t>
  </si>
  <si>
    <t>(v)</t>
  </si>
  <si>
    <t>Total current assets</t>
  </si>
  <si>
    <t>Total assets</t>
  </si>
  <si>
    <t>Equity and liabilities</t>
  </si>
  <si>
    <t>IV</t>
  </si>
  <si>
    <t>Equity</t>
  </si>
  <si>
    <t>Equity share capital</t>
  </si>
  <si>
    <t>Other equity</t>
  </si>
  <si>
    <t>Total equity</t>
  </si>
  <si>
    <t>V</t>
  </si>
  <si>
    <t>Non-current liabilities</t>
  </si>
  <si>
    <t>Financial liabilities</t>
  </si>
  <si>
    <t>Lease liabilities</t>
  </si>
  <si>
    <t>Provisions</t>
  </si>
  <si>
    <t>Deferred tax liabilities (net)</t>
  </si>
  <si>
    <t>Total non-current liabilities</t>
  </si>
  <si>
    <t>VI</t>
  </si>
  <si>
    <t>Current liabilities</t>
  </si>
  <si>
    <t>Trade payables</t>
  </si>
  <si>
    <t>(ii/a)</t>
  </si>
  <si>
    <t>Total outstanding dues of micro and small enterprises</t>
  </si>
  <si>
    <t>(ii/b)</t>
  </si>
  <si>
    <t>Total outstanding dues of creditors other than micro and small enterprises</t>
  </si>
  <si>
    <t>Other financial liabilities</t>
  </si>
  <si>
    <t>Other liabilities</t>
  </si>
  <si>
    <t>Total current liabilities</t>
  </si>
  <si>
    <t>Total liabilities</t>
  </si>
  <si>
    <t>Total equity and liabilities</t>
  </si>
  <si>
    <t>ETERNAL DILUTED EPS</t>
  </si>
  <si>
    <t>Profit attributable to equity holders of the Company (₹)</t>
  </si>
  <si>
    <t>Weighted average number of equity shares in calculating diluted EPS</t>
  </si>
  <si>
    <t>Diluted earnings per share (₹)</t>
  </si>
  <si>
    <t>ETERNAL RPS</t>
  </si>
  <si>
    <t>Revenue from operations of the Company (₹)</t>
  </si>
  <si>
    <t xml:space="preserve">Weighted average number of equity shares </t>
  </si>
  <si>
    <t>RPS (₹)</t>
  </si>
  <si>
    <t>ETERNAL MARKET CAPITALISATION</t>
  </si>
  <si>
    <t>Share Price (₹)</t>
  </si>
  <si>
    <t>Outstanding number of shares at the end of the year ()</t>
  </si>
  <si>
    <t>Market Capitalisation (₹)</t>
  </si>
  <si>
    <t>ETERNAL ENTERPRISE VALUE</t>
  </si>
  <si>
    <t>Market Cap</t>
  </si>
  <si>
    <t>Non-current lease liabilities</t>
  </si>
  <si>
    <t>Current lease liabilities</t>
  </si>
  <si>
    <t>Total Debt</t>
  </si>
  <si>
    <t>EV</t>
  </si>
  <si>
    <t>ETERNAL MULTIPLES</t>
  </si>
  <si>
    <t>Multiples</t>
  </si>
  <si>
    <t>Mathematical formula</t>
  </si>
  <si>
    <t>P/E ratio</t>
  </si>
  <si>
    <t>Share Price/Diluted Earnings Per Share</t>
  </si>
  <si>
    <t>P/S ratio</t>
  </si>
  <si>
    <t>Share Price/Revenue Per Share</t>
  </si>
  <si>
    <t>EV/Revenue from operations</t>
  </si>
  <si>
    <t>ASSUMPTIONS/ NOTES</t>
  </si>
  <si>
    <r>
      <rPr>
        <rFont val="Aptos Narrow"/>
        <b/>
        <color theme="1"/>
        <sz val="11.0"/>
      </rPr>
      <t>1. WACC Calculation (</t>
    </r>
    <r>
      <rPr>
        <rFont val="Aptos Narrow"/>
        <b/>
        <i/>
        <color theme="1"/>
        <sz val="11.0"/>
      </rPr>
      <t>for discount rate 'r')</t>
    </r>
  </si>
  <si>
    <t xml:space="preserve">(in crores) </t>
  </si>
  <si>
    <t>Amount</t>
  </si>
  <si>
    <t>Weight</t>
  </si>
  <si>
    <t xml:space="preserve">Cost of </t>
  </si>
  <si>
    <t>WACC</t>
  </si>
  <si>
    <t>Debt (Pre-Tax)</t>
  </si>
  <si>
    <t>Total Capital</t>
  </si>
  <si>
    <t>Ke (as per CAPM)</t>
  </si>
  <si>
    <t>Risk-free rate of return</t>
  </si>
  <si>
    <t>https://tradingeconomics.com/india/government-bond-yield</t>
  </si>
  <si>
    <t>Beta</t>
  </si>
  <si>
    <t>https://www.topstockresearch.com/rt/Stock/TATASTEEL/BetaAndVolatility</t>
  </si>
  <si>
    <t>Market rate of return</t>
  </si>
  <si>
    <t xml:space="preserve">Ke </t>
  </si>
  <si>
    <t>10 year CAGR</t>
  </si>
  <si>
    <t>- NIFTY 50</t>
  </si>
  <si>
    <t>https://www.screener.in/company/NIFTY/</t>
  </si>
  <si>
    <t>- SENSEX</t>
  </si>
  <si>
    <t>https://www.screener.in/company/1001/</t>
  </si>
  <si>
    <r>
      <rPr>
        <rFont val="Aptos Narrow"/>
        <color theme="1"/>
      </rPr>
      <t xml:space="preserve">The </t>
    </r>
    <r>
      <rPr>
        <rFont val="Aptos Narrow"/>
        <b/>
        <color theme="1"/>
        <sz val="11.0"/>
      </rPr>
      <t>Nifty 50</t>
    </r>
    <r>
      <rPr>
        <rFont val="Aptos Narrow"/>
        <color theme="1"/>
        <sz val="12.0"/>
      </rPr>
      <t xml:space="preserve"> is generally preferred because it is broader (50 stocks vs. 30 in the Sensex).</t>
    </r>
  </si>
  <si>
    <t>Kd (as per financial statements)</t>
  </si>
  <si>
    <t>Debt - Gross debt was significantly higher due to utilisation of various term loans and Debentures during the year majorly for funding capital expansion projects and investments, along with net borrowings of short-term loans during the year</t>
  </si>
  <si>
    <t>Total Interest Expense</t>
  </si>
  <si>
    <t>Kd</t>
  </si>
  <si>
    <t xml:space="preserve">maybe they had taken some of the non-current borrowings towards the end of </t>
  </si>
  <si>
    <t xml:space="preserve">the year and its interest was not applicable yet? </t>
  </si>
  <si>
    <t>Kd seems quite low; increase in finance cost is not up to increase in debt??</t>
  </si>
  <si>
    <r>
      <rPr>
        <rFont val="Aptos Narrow"/>
        <b/>
        <color theme="1"/>
        <sz val="11.0"/>
      </rPr>
      <t xml:space="preserve">2. Growth rate </t>
    </r>
    <r>
      <rPr>
        <rFont val="Aptos Narrow"/>
        <b/>
        <i/>
        <color theme="1"/>
        <sz val="11.0"/>
      </rPr>
      <t>'g'</t>
    </r>
  </si>
  <si>
    <t>Estimated revenue growth</t>
  </si>
  <si>
    <t>https://www.alphaspread.com/security/nse/tatasteel/analyst-estimates</t>
  </si>
  <si>
    <r>
      <rPr>
        <rFont val="Aptos Narrow"/>
        <color theme="1"/>
      </rPr>
      <t xml:space="preserve">For the explicit 4-year forecast period, FCFF is projected to grow directly at a compound annual rate of </t>
    </r>
    <r>
      <rPr>
        <rFont val="Aptos Narrow"/>
        <b/>
        <color theme="1"/>
        <sz val="11.0"/>
      </rPr>
      <t>7%</t>
    </r>
    <r>
      <rPr>
        <rFont val="Aptos Narrow"/>
        <color theme="1"/>
        <sz val="12.0"/>
      </rPr>
      <t xml:space="preserve">, matching the consensus Wall Street revenue expansion targets for Tata Steel’s domestic operations. </t>
    </r>
  </si>
  <si>
    <t>Have not gone with a line by line forecast as this is driven by substantial near-term volume growth—specifically powered by the newly commissioned 5 MTPA Kalinganagar Phase II expansion.</t>
  </si>
  <si>
    <t>Operating margins, asset utilization efficiencies, and capital reinvestment rates are conservatively assumed to remain stable at current levels for the foreseeable future.</t>
  </si>
  <si>
    <t>Consequently, cash flow generation is modeled to scale symmetrically with top-line physical volume expansion</t>
  </si>
  <si>
    <r>
      <rPr>
        <rFont val="Aptos Narrow"/>
        <b/>
        <color theme="1"/>
        <sz val="11.0"/>
      </rPr>
      <t xml:space="preserve">3. Terminal Growth Rate </t>
    </r>
    <r>
      <rPr>
        <rFont val="Aptos Narrow"/>
        <b/>
        <i/>
        <color theme="1"/>
        <sz val="11.0"/>
      </rPr>
      <t>'t'</t>
    </r>
  </si>
  <si>
    <t>Inflation rate</t>
  </si>
  <si>
    <t>https://www.statista.com/statistics/271322/inflation-rate-in-india/?srsltid=AfmBOoqw4nvLs9ANi6Amduroa8GtGxJ7K9wcrKroQkLWJVmc1jTEJHOv</t>
  </si>
  <si>
    <t>GDP growth rate</t>
  </si>
  <si>
    <t>https://www.worldometers.info/gdp/india-gdp/</t>
  </si>
  <si>
    <t xml:space="preserve">As businesses scale and reach maximum market penetration, maintaining volume growth becomes harder. </t>
  </si>
  <si>
    <t xml:space="preserve">They face threats from new technologies, material substitution, or shifting demographics. </t>
  </si>
  <si>
    <t xml:space="preserve">Setting the TGR slightly below nominal GDP (for instance, knocking off 0.5% to 1.5% from the country's total nominal growth projection) builds a safety margin into the valuation. </t>
  </si>
  <si>
    <t>It forces the model to assume that the company will eventually grow a bit slower than the overall nation as it reaches extreme maturity.</t>
  </si>
  <si>
    <t xml:space="preserve">So, in light of this, will assume </t>
  </si>
  <si>
    <t xml:space="preserve">Terminal Growth Rate </t>
  </si>
  <si>
    <t>4. FCFF Calulation</t>
  </si>
  <si>
    <t>Net Income</t>
  </si>
  <si>
    <t>(+) Dep/Am</t>
  </si>
  <si>
    <t>(+) Post-tax FC</t>
  </si>
  <si>
    <t>The Company had opted for the new tax regime under Section 115BAA of the Act, which provides a domestic Company with an option to pay tax at a rate of 22% (effective rate of 25.168%). The lower rate shall be applicable subject to certain conditions, including that the total income should be computed without claiming specific deduction or exemptions.</t>
  </si>
  <si>
    <t>Changes in WC</t>
  </si>
  <si>
    <t>Current Assets</t>
  </si>
  <si>
    <t>Current Liabilities</t>
  </si>
  <si>
    <t>WC</t>
  </si>
  <si>
    <t>(-) Change in WC</t>
  </si>
  <si>
    <r>
      <rPr>
        <rFont val="Aptos Narrow"/>
        <color theme="1"/>
      </rPr>
      <t xml:space="preserve">An </t>
    </r>
    <r>
      <rPr>
        <rFont val="Arial"/>
        <i/>
        <color theme="1"/>
        <sz val="10.0"/>
      </rPr>
      <t>increase</t>
    </r>
    <r>
      <rPr>
        <rFont val="Aptos Narrow"/>
        <color theme="1"/>
        <sz val="12.0"/>
      </rPr>
      <t xml:space="preserve"> in working capital absorbs cash and is subtracted, while a </t>
    </r>
    <r>
      <rPr>
        <rFont val="Arial"/>
        <i/>
        <color theme="1"/>
        <sz val="10.0"/>
      </rPr>
      <t>decrease</t>
    </r>
    <r>
      <rPr>
        <rFont val="Aptos Narrow"/>
        <color theme="1"/>
        <sz val="12.0"/>
      </rPr>
      <t xml:space="preserve"> frees up cash and is added. (need more clarity)</t>
    </r>
  </si>
  <si>
    <t>(-) CapEx</t>
  </si>
  <si>
    <t>Purchase of Capital Assets in Statement of Cash Flow</t>
  </si>
  <si>
    <t>FCFF</t>
  </si>
  <si>
    <t>5. FCFF Forecasting</t>
  </si>
  <si>
    <t>2030 onwards</t>
  </si>
  <si>
    <t>Year</t>
  </si>
  <si>
    <t>Discount rate</t>
  </si>
  <si>
    <t>we use final year (4) discount rate because we use final year (4) FCFF to project terminal value</t>
  </si>
  <si>
    <t>Present Value</t>
  </si>
  <si>
    <t>Valuation</t>
  </si>
  <si>
    <t xml:space="preserve">Probable causes for severe undervaluation </t>
  </si>
  <si>
    <t>- assumption of 7% growth rate for the next 4 years instead of a line-by-line forecasting</t>
  </si>
  <si>
    <t>- the result is highly sensitive to the terminal growth rate and WACC assumptions</t>
  </si>
  <si>
    <t>- Kd is using 2025 values whereas Ke is using current values of Rf,Rm and Beta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</si>
</sst>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0_);_(* \(#,##0.00\);_(* &quot;-&quot;??_);_(@_)"/>
    <numFmt numFmtId="165" formatCode="0.000%"/>
    <numFmt numFmtId="166" formatCode="0.0%"/>
  </numFmts>
  <fonts count="26">
    <font>
      <sz val="12.0"/>
      <color theme="1"/>
      <name val="Aptos Narrow"/>
      <scheme val="minor"/>
    </font>
    <font>
      <sz val="12.0"/>
      <color theme="1"/>
      <name val="Times New Roman"/>
    </font>
    <font>
      <b/>
      <sz val="12.0"/>
      <color theme="1"/>
      <name val="Times New Roman"/>
    </font>
    <font/>
    <font>
      <sz val="12.0"/>
      <color rgb="FF000000"/>
      <name val="Times New Roman"/>
    </font>
    <font>
      <b/>
      <sz val="16.0"/>
      <color theme="1"/>
      <name val="Times New Roman"/>
    </font>
    <font>
      <i/>
      <sz val="12.0"/>
      <color theme="1"/>
      <name val="Times New Roman"/>
    </font>
    <font>
      <sz val="12.0"/>
      <color rgb="FF343433"/>
      <name val="Times New Roman"/>
    </font>
    <font>
      <b/>
      <sz val="11.0"/>
      <color theme="1"/>
      <name val="Times New Roman"/>
    </font>
    <font>
      <b/>
      <i/>
      <sz val="12.0"/>
      <color rgb="FF0E2841"/>
      <name val="Times New Roman"/>
    </font>
    <font>
      <i/>
      <sz val="11.0"/>
      <color theme="1"/>
      <name val="Times New Roman"/>
    </font>
    <font>
      <sz val="12.0"/>
      <color rgb="FF090909"/>
      <name val="Times New Roman"/>
    </font>
    <font>
      <b/>
      <i/>
      <sz val="12.0"/>
      <color theme="1"/>
      <name val="Times New Roman"/>
    </font>
    <font>
      <sz val="11.0"/>
      <color theme="1"/>
      <name val="Times New Roman"/>
    </font>
    <font>
      <b/>
      <sz val="11.0"/>
      <color theme="1"/>
      <name val="Calibri"/>
    </font>
    <font>
      <b/>
      <sz val="16.0"/>
      <color rgb="FF000000"/>
      <name val="Times New Roman"/>
    </font>
    <font>
      <b/>
      <u/>
      <sz val="11.0"/>
      <color theme="1"/>
      <name val="Aptos Narrow"/>
    </font>
    <font>
      <b/>
      <sz val="11.0"/>
      <color theme="1"/>
      <name val="Aptos Narrow"/>
    </font>
    <font>
      <color theme="1"/>
      <name val="Aptos Narrow"/>
      <scheme val="minor"/>
    </font>
    <font>
      <sz val="12.0"/>
      <color theme="1"/>
      <name val="Aptos Narrow"/>
    </font>
    <font>
      <b/>
      <sz val="11.0"/>
      <color rgb="FFFF0000"/>
      <name val="Aptos Narrow"/>
    </font>
    <font>
      <sz val="12.0"/>
      <color theme="1"/>
      <name val="Arial"/>
    </font>
    <font>
      <sz val="11.0"/>
      <color rgb="FFFF0000"/>
      <name val="Aptos Narrow"/>
    </font>
    <font>
      <sz val="12.0"/>
      <color rgb="FF000000"/>
      <name val="&quot;Aptos Narrow&quot;"/>
    </font>
    <font>
      <b/>
      <sz val="11.0"/>
      <color rgb="FFC00000"/>
      <name val="Aptos Narrow"/>
    </font>
    <font>
      <sz val="9.0"/>
      <color rgb="FF22222F"/>
      <name val="Arial"/>
    </font>
  </fonts>
  <fills count="7">
    <fill>
      <patternFill patternType="none"/>
    </fill>
    <fill>
      <patternFill patternType="lightGray"/>
    </fill>
    <fill>
      <patternFill patternType="solid">
        <fgColor rgb="FFFFFF00"/>
        <bgColor rgb="FFFFFF00"/>
      </patternFill>
    </fill>
    <fill>
      <patternFill patternType="solid">
        <fgColor rgb="FFA6C9EB"/>
        <bgColor rgb="FFA6C9EB"/>
      </patternFill>
    </fill>
    <fill>
      <patternFill patternType="solid">
        <fgColor rgb="FFDBE9F7"/>
        <bgColor rgb="FFDBE9F7"/>
      </patternFill>
    </fill>
    <fill>
      <patternFill patternType="solid">
        <fgColor rgb="FFD9EAF7"/>
        <bgColor rgb="FFD9EAF7"/>
      </patternFill>
    </fill>
    <fill>
      <patternFill patternType="solid">
        <fgColor rgb="FFA6C9EC"/>
        <bgColor rgb="FFA6C9EC"/>
      </patternFill>
    </fill>
  </fills>
  <borders count="83">
    <border/>
    <border>
      <left/>
      <top/>
      <bottom/>
    </border>
    <border>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bottom/>
    </border>
    <border>
      <left/>
      <top/>
      <bottom style="thick">
        <color rgb="FF000000"/>
      </bottom>
    </border>
    <border>
      <top/>
      <bottom style="thick">
        <color rgb="FF000000"/>
      </bottom>
    </border>
    <border>
      <right/>
      <top/>
      <bottom style="thick">
        <color rgb="FF000000"/>
      </bottom>
    </border>
    <border>
      <top style="thick">
        <color rgb="FF000000"/>
      </top>
      <bottom style="medium">
        <color rgb="FF000000"/>
      </bottom>
    </border>
    <border>
      <left style="medium">
        <color rgb="FF000000"/>
      </left>
      <right/>
      <top style="medium">
        <color rgb="FF000000"/>
      </top>
      <bottom style="thick">
        <color rgb="FF000000"/>
      </bottom>
    </border>
    <border>
      <left/>
      <right/>
      <top style="medium">
        <color rgb="FF000000"/>
      </top>
      <bottom style="thick">
        <color rgb="FF000000"/>
      </bottom>
    </border>
    <border>
      <left/>
      <right style="medium">
        <color rgb="FF000000"/>
      </right>
      <top style="medium">
        <color rgb="FF000000"/>
      </top>
      <bottom style="thick">
        <color rgb="FF000000"/>
      </bottom>
    </border>
    <border>
      <right style="medium">
        <color rgb="FF000000"/>
      </right>
    </border>
    <border>
      <left style="medium">
        <color rgb="FF000000"/>
      </left>
      <right/>
      <top/>
      <bottom style="thin">
        <color theme="1"/>
      </bottom>
    </border>
    <border>
      <left/>
      <right/>
      <top/>
      <bottom style="thin">
        <color theme="1"/>
      </bottom>
    </border>
    <border>
      <left/>
      <right style="medium">
        <color rgb="FF000000"/>
      </right>
      <top/>
      <bottom style="thin">
        <color theme="1"/>
      </bottom>
    </border>
    <border>
      <left style="medium">
        <color rgb="FF000000"/>
      </left>
    </border>
    <border>
      <left style="medium">
        <color rgb="FF000000"/>
      </left>
      <right/>
      <top/>
      <bottom/>
    </border>
    <border>
      <left/>
      <right/>
      <top/>
      <bottom/>
    </border>
    <border>
      <left/>
      <right style="medium">
        <color rgb="FF000000"/>
      </right>
      <top/>
      <bottom/>
    </border>
    <border>
      <left style="medium">
        <color rgb="FF000000"/>
      </left>
      <bottom style="thin">
        <color theme="1"/>
      </bottom>
    </border>
    <border>
      <bottom style="thin">
        <color theme="1"/>
      </bottom>
    </border>
    <border>
      <right style="medium">
        <color rgb="FF000000"/>
      </right>
      <bottom style="thin">
        <color theme="1"/>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right/>
      <top/>
      <bottom style="thin">
        <color rgb="FF000000"/>
      </bottom>
    </border>
    <border>
      <left/>
      <right/>
      <top/>
      <bottom style="thin">
        <color rgb="FF000000"/>
      </bottom>
    </border>
    <border>
      <left/>
      <right style="medium">
        <color rgb="FF000000"/>
      </right>
      <top/>
      <bottom style="thin">
        <color rgb="FF000000"/>
      </bottom>
    </border>
    <border>
      <top style="thin">
        <color rgb="FF000000"/>
      </top>
      <bottom style="medium">
        <color rgb="FF000000"/>
      </bottom>
    </border>
    <border>
      <right style="medium">
        <color rgb="FF000000"/>
      </right>
      <top style="thin">
        <color rgb="FF000000"/>
      </top>
      <bottom style="medium">
        <color rgb="FF000000"/>
      </bottom>
    </border>
    <border>
      <top style="thick">
        <color rgb="FF000000"/>
      </top>
      <bottom style="thick">
        <color rgb="FF000000"/>
      </bottom>
    </border>
    <border>
      <left style="thick">
        <color rgb="FF000000"/>
      </left>
      <right/>
      <top style="thick">
        <color rgb="FF000000"/>
      </top>
      <bottom style="medium">
        <color rgb="FF0E2841"/>
      </bottom>
    </border>
    <border>
      <left/>
      <right/>
      <top style="thick">
        <color rgb="FF000000"/>
      </top>
      <bottom style="medium">
        <color rgb="FF0E2841"/>
      </bottom>
    </border>
    <border>
      <left/>
      <right style="thick">
        <color rgb="FF000000"/>
      </right>
      <top style="thick">
        <color rgb="FF000000"/>
      </top>
      <bottom style="medium">
        <color rgb="FF0E2841"/>
      </bottom>
    </border>
    <border>
      <left style="thick">
        <color rgb="FF000000"/>
      </left>
      <top style="medium">
        <color rgb="FF0E2841"/>
      </top>
      <bottom style="thin">
        <color rgb="FF0E2841"/>
      </bottom>
    </border>
    <border>
      <top style="medium">
        <color rgb="FF0E2841"/>
      </top>
      <bottom style="thin">
        <color rgb="FF0E2841"/>
      </bottom>
    </border>
    <border>
      <right style="thick">
        <color rgb="FF000000"/>
      </right>
      <top style="medium">
        <color rgb="FF0E2841"/>
      </top>
      <bottom style="thin">
        <color rgb="FF0E2841"/>
      </bottom>
    </border>
    <border>
      <left style="thick">
        <color rgb="FF000000"/>
      </left>
    </border>
    <border>
      <right style="thick">
        <color rgb="FF000000"/>
      </right>
    </border>
    <border>
      <left style="thick">
        <color rgb="FF000000"/>
      </left>
      <top/>
      <bottom/>
    </border>
    <border>
      <left/>
      <right style="thick">
        <color rgb="FF000000"/>
      </right>
      <top/>
      <bottom/>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ck">
        <color rgb="FF000000"/>
      </left>
      <bottom style="thin">
        <color rgb="FF000000"/>
      </bottom>
    </border>
    <border>
      <bottom style="thin">
        <color rgb="FF000000"/>
      </bottom>
    </border>
    <border>
      <right style="thick">
        <color rgb="FF000000"/>
      </right>
      <bottom style="thin">
        <color rgb="FF000000"/>
      </bottom>
    </border>
    <border>
      <left style="thick">
        <color rgb="FF000000"/>
      </left>
      <top/>
      <bottom style="medium">
        <color rgb="FF000000"/>
      </bottom>
    </border>
    <border>
      <right/>
      <top/>
      <bottom style="medium">
        <color rgb="FF000000"/>
      </bottom>
    </border>
    <border>
      <left/>
      <right/>
      <top/>
      <bottom style="medium">
        <color rgb="FF000000"/>
      </bottom>
    </border>
    <border>
      <left/>
      <right style="thick">
        <color rgb="FF000000"/>
      </right>
      <top/>
      <bottom style="medium">
        <color rgb="FF000000"/>
      </bottom>
    </border>
    <border>
      <left style="thick">
        <color rgb="FF000000"/>
      </left>
      <top style="medium">
        <color rgb="FF000000"/>
      </top>
      <bottom style="thick">
        <color rgb="FF000000"/>
      </bottom>
    </border>
    <border>
      <top style="medium">
        <color rgb="FF000000"/>
      </top>
      <bottom style="thick">
        <color rgb="FF000000"/>
      </bottom>
    </border>
    <border>
      <bottom style="thick">
        <color rgb="FF000000"/>
      </bottom>
    </border>
    <border>
      <right style="thick">
        <color rgb="FF000000"/>
      </right>
      <top style="medium">
        <color rgb="FF000000"/>
      </top>
      <bottom style="thick">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ck">
        <color rgb="FF000000"/>
      </left>
      <right style="medium">
        <color rgb="FF000000"/>
      </right>
      <top style="thick">
        <color rgb="FF000000"/>
      </top>
      <bottom style="thick">
        <color rgb="FF0E2841"/>
      </bottom>
    </border>
    <border>
      <left/>
      <right/>
      <top style="thick">
        <color rgb="FF000000"/>
      </top>
      <bottom style="thick">
        <color rgb="FF0E2841"/>
      </bottom>
    </border>
    <border>
      <left style="medium">
        <color rgb="FF000000"/>
      </left>
      <right/>
      <top style="thick">
        <color rgb="FF000000"/>
      </top>
      <bottom style="thick">
        <color rgb="FF0E2841"/>
      </bottom>
    </border>
    <border>
      <left/>
      <right style="thick">
        <color rgb="FF000000"/>
      </right>
      <top style="thick">
        <color rgb="FF000000"/>
      </top>
      <bottom style="thick">
        <color rgb="FF0E2841"/>
      </bottom>
    </border>
    <border>
      <left style="thick">
        <color rgb="FF000000"/>
      </left>
      <top style="thick">
        <color rgb="FF0E2841"/>
      </top>
      <bottom style="medium">
        <color rgb="FF0E2841"/>
      </bottom>
    </border>
    <border>
      <top style="thick">
        <color rgb="FF0E2841"/>
      </top>
      <bottom style="medium">
        <color rgb="FF0E2841"/>
      </bottom>
    </border>
    <border>
      <right style="thick">
        <color rgb="FF000000"/>
      </right>
      <top style="thick">
        <color rgb="FF0E2841"/>
      </top>
      <bottom style="medium">
        <color rgb="FF0E2841"/>
      </bottom>
    </border>
    <border>
      <left style="thick">
        <color rgb="FF000000"/>
      </left>
      <right style="medium">
        <color rgb="FF000000"/>
      </right>
      <bottom style="thin">
        <color rgb="FF000000"/>
      </bottom>
    </border>
    <border>
      <left style="medium">
        <color rgb="FF000000"/>
      </left>
      <bottom style="thin">
        <color rgb="FF000000"/>
      </bottom>
    </border>
    <border>
      <left style="medium">
        <color rgb="FF000000"/>
      </left>
      <right style="thick">
        <color rgb="FF000000"/>
      </right>
      <top style="medium">
        <color rgb="FF0E2841"/>
      </top>
      <bottom style="thin">
        <color rgb="FF000000"/>
      </bottom>
    </border>
    <border>
      <left style="medium">
        <color rgb="FF000000"/>
      </left>
      <right style="thick">
        <color rgb="FF000000"/>
      </right>
      <bottom style="medium">
        <color rgb="FF000000"/>
      </bottom>
    </border>
    <border>
      <left style="thick">
        <color rgb="FF000000"/>
      </left>
      <top style="medium">
        <color rgb="FF000000"/>
      </top>
      <bottom style="medium">
        <color rgb="FF000000"/>
      </bottom>
    </border>
    <border>
      <right style="thick">
        <color rgb="FF000000"/>
      </right>
      <top style="medium">
        <color rgb="FF000000"/>
      </top>
      <bottom style="medium">
        <color rgb="FF000000"/>
      </bottom>
    </border>
    <border>
      <left style="thick">
        <color rgb="FF000000"/>
      </left>
      <right style="medium">
        <color rgb="FF000000"/>
      </right>
      <top style="medium">
        <color rgb="FF000000"/>
      </top>
      <bottom style="thin">
        <color rgb="FF000000"/>
      </bottom>
    </border>
    <border>
      <right style="medium">
        <color rgb="FF000000"/>
      </right>
      <bottom style="thin">
        <color rgb="FF000000"/>
      </bottom>
    </border>
    <border>
      <left style="medium">
        <color rgb="FF000000"/>
      </left>
      <right style="thick">
        <color rgb="FF000000"/>
      </right>
      <top style="medium">
        <color rgb="FF000000"/>
      </top>
      <bottom style="thin">
        <color rgb="FF000000"/>
      </bottom>
    </border>
    <border>
      <left style="medium">
        <color rgb="FF000000"/>
      </left>
      <right style="thick">
        <color rgb="FF000000"/>
      </right>
      <bottom style="thin">
        <color rgb="FF000000"/>
      </bottom>
    </border>
    <border>
      <left style="thick">
        <color rgb="FF000000"/>
      </left>
      <right style="medium">
        <color rgb="FF000000"/>
      </right>
      <top style="thin">
        <color rgb="FF000000"/>
      </top>
      <bottom style="thick">
        <color rgb="FF000000"/>
      </bottom>
    </border>
    <border>
      <top style="thin">
        <color rgb="FF000000"/>
      </top>
      <bottom style="thick">
        <color rgb="FF000000"/>
      </bottom>
    </border>
    <border>
      <left style="medium">
        <color rgb="FF000000"/>
      </left>
      <top style="thin">
        <color rgb="FF000000"/>
      </top>
      <bottom style="thick">
        <color rgb="FF000000"/>
      </bottom>
    </border>
    <border>
      <left style="medium">
        <color rgb="FF000000"/>
      </left>
      <right style="thick">
        <color rgb="FF000000"/>
      </right>
      <top style="thin">
        <color rgb="FF000000"/>
      </top>
      <bottom style="thick">
        <color rgb="FF000000"/>
      </bottom>
    </border>
    <border>
      <top style="thin">
        <color rgb="FF000000"/>
      </top>
      <bottom style="double">
        <color rgb="FF000000"/>
      </bottom>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xf>
    <xf borderId="2" fillId="0" fontId="3" numFmtId="0" xfId="0" applyBorder="1" applyFont="1"/>
    <xf borderId="3" fillId="0" fontId="1" numFmtId="0" xfId="0" applyAlignment="1" applyBorder="1" applyFont="1">
      <alignment horizontal="left" shrinkToFit="0" vertical="top" wrapText="1"/>
    </xf>
    <xf borderId="4" fillId="0" fontId="3" numFmtId="0" xfId="0" applyBorder="1" applyFont="1"/>
    <xf borderId="5" fillId="0" fontId="3" numFmtId="0" xfId="0" applyBorder="1" applyFont="1"/>
    <xf borderId="6" fillId="0" fontId="3" numFmtId="0" xfId="0" applyBorder="1" applyFont="1"/>
    <xf borderId="3" fillId="0" fontId="4" numFmtId="0" xfId="0" applyAlignment="1" applyBorder="1" applyFont="1">
      <alignment horizontal="left" shrinkToFit="0" vertical="top" wrapText="1"/>
    </xf>
    <xf borderId="7" fillId="3" fontId="5" numFmtId="164" xfId="0" applyAlignment="1" applyBorder="1" applyFill="1" applyFont="1" applyNumberFormat="1">
      <alignment horizontal="center" shrinkToFit="0" vertical="center" wrapText="1"/>
    </xf>
    <xf borderId="8" fillId="0" fontId="3" numFmtId="0" xfId="0" applyBorder="1" applyFont="1"/>
    <xf borderId="9" fillId="0" fontId="3" numFmtId="0" xfId="0" applyBorder="1" applyFont="1"/>
    <xf borderId="0" fillId="0" fontId="1" numFmtId="164" xfId="0" applyFont="1" applyNumberFormat="1"/>
    <xf borderId="0" fillId="0" fontId="1" numFmtId="164" xfId="0" applyAlignment="1" applyFont="1" applyNumberFormat="1">
      <alignment horizontal="center"/>
    </xf>
    <xf borderId="10" fillId="0" fontId="6" numFmtId="164" xfId="0" applyAlignment="1" applyBorder="1" applyFont="1" applyNumberFormat="1">
      <alignment horizontal="right"/>
    </xf>
    <xf borderId="10" fillId="0" fontId="3" numFmtId="0" xfId="0" applyBorder="1" applyFont="1"/>
    <xf borderId="11" fillId="4" fontId="2" numFmtId="164" xfId="0" applyAlignment="1" applyBorder="1" applyFill="1" applyFont="1" applyNumberFormat="1">
      <alignment horizontal="left" vertical="center"/>
    </xf>
    <xf borderId="12" fillId="4" fontId="2" numFmtId="164" xfId="0" applyAlignment="1" applyBorder="1" applyFont="1" applyNumberFormat="1">
      <alignment horizontal="right" vertical="center"/>
    </xf>
    <xf borderId="13" fillId="4" fontId="2" numFmtId="164" xfId="0" applyAlignment="1" applyBorder="1" applyFont="1" applyNumberFormat="1">
      <alignment horizontal="right" vertical="center"/>
    </xf>
    <xf borderId="0" fillId="0" fontId="2" numFmtId="164" xfId="0" applyAlignment="1" applyFont="1" applyNumberFormat="1">
      <alignment horizontal="left" vertical="center"/>
    </xf>
    <xf borderId="0" fillId="0" fontId="1" numFmtId="164" xfId="0" applyAlignment="1" applyFont="1" applyNumberFormat="1">
      <alignment horizontal="right" vertical="center"/>
    </xf>
    <xf borderId="14" fillId="0" fontId="1" numFmtId="164" xfId="0" applyAlignment="1" applyBorder="1" applyFont="1" applyNumberFormat="1">
      <alignment horizontal="right" vertical="center"/>
    </xf>
    <xf borderId="0" fillId="0" fontId="1" numFmtId="164" xfId="0" applyAlignment="1" applyFont="1" applyNumberFormat="1">
      <alignment horizontal="left" vertical="center"/>
    </xf>
    <xf borderId="15" fillId="3" fontId="2" numFmtId="164" xfId="0" applyBorder="1" applyFont="1" applyNumberFormat="1"/>
    <xf borderId="16" fillId="3" fontId="2" numFmtId="164" xfId="0" applyBorder="1" applyFont="1" applyNumberFormat="1"/>
    <xf borderId="17" fillId="3" fontId="2" numFmtId="164" xfId="0" applyBorder="1" applyFont="1" applyNumberFormat="1"/>
    <xf borderId="18" fillId="0" fontId="1" numFmtId="164" xfId="0" applyBorder="1" applyFont="1" applyNumberFormat="1"/>
    <xf borderId="14" fillId="0" fontId="1" numFmtId="164" xfId="0" applyBorder="1" applyFont="1" applyNumberFormat="1"/>
    <xf borderId="19" fillId="3" fontId="2" numFmtId="164" xfId="0" applyBorder="1" applyFont="1" applyNumberFormat="1"/>
    <xf borderId="20" fillId="3" fontId="2" numFmtId="164" xfId="0" applyBorder="1" applyFont="1" applyNumberFormat="1"/>
    <xf borderId="21" fillId="3" fontId="2" numFmtId="164" xfId="0" applyBorder="1" applyFont="1" applyNumberFormat="1"/>
    <xf borderId="22" fillId="0" fontId="2" numFmtId="164" xfId="0" applyBorder="1" applyFont="1" applyNumberFormat="1"/>
    <xf borderId="23" fillId="0" fontId="2" numFmtId="164" xfId="0" applyBorder="1" applyFont="1" applyNumberFormat="1"/>
    <xf borderId="24" fillId="0" fontId="2" numFmtId="164" xfId="0" applyBorder="1" applyFont="1" applyNumberFormat="1"/>
    <xf borderId="0" fillId="0" fontId="7" numFmtId="3" xfId="0" applyFont="1" applyNumberFormat="1"/>
    <xf borderId="0" fillId="0" fontId="1" numFmtId="164" xfId="0" applyAlignment="1" applyFont="1" applyNumberFormat="1">
      <alignment vertical="center"/>
    </xf>
    <xf borderId="14" fillId="0" fontId="1" numFmtId="164" xfId="0" applyAlignment="1" applyBorder="1" applyFont="1" applyNumberFormat="1">
      <alignment vertical="center"/>
    </xf>
    <xf borderId="25" fillId="0" fontId="1" numFmtId="164" xfId="0" applyBorder="1" applyFont="1" applyNumberFormat="1"/>
    <xf borderId="26" fillId="0" fontId="1" numFmtId="164" xfId="0" applyBorder="1" applyFont="1" applyNumberFormat="1"/>
    <xf borderId="27" fillId="0" fontId="1" numFmtId="164" xfId="0" applyBorder="1" applyFont="1" applyNumberFormat="1"/>
    <xf borderId="0" fillId="0" fontId="1" numFmtId="164" xfId="0" applyAlignment="1" applyFont="1" applyNumberFormat="1">
      <alignment horizontal="right"/>
    </xf>
    <xf borderId="14" fillId="0" fontId="1" numFmtId="164" xfId="0" applyAlignment="1" applyBorder="1" applyFont="1" applyNumberFormat="1">
      <alignment horizontal="right"/>
    </xf>
    <xf borderId="18" fillId="0" fontId="1" numFmtId="0" xfId="0" applyBorder="1" applyFont="1"/>
    <xf borderId="0" fillId="0" fontId="1" numFmtId="4" xfId="0" applyFont="1" applyNumberFormat="1"/>
    <xf borderId="14" fillId="0" fontId="1" numFmtId="4" xfId="0" applyBorder="1" applyFont="1" applyNumberFormat="1"/>
    <xf borderId="14" fillId="0" fontId="1" numFmtId="0" xfId="0" applyBorder="1" applyFont="1"/>
    <xf borderId="28" fillId="3" fontId="2" numFmtId="164" xfId="0" applyBorder="1" applyFont="1" applyNumberFormat="1"/>
    <xf borderId="29" fillId="3" fontId="2" numFmtId="164" xfId="0" applyBorder="1" applyFont="1" applyNumberFormat="1"/>
    <xf borderId="30" fillId="3" fontId="2" numFmtId="164" xfId="0" applyBorder="1" applyFont="1" applyNumberFormat="1"/>
    <xf borderId="20" fillId="3" fontId="2" numFmtId="164" xfId="0" applyAlignment="1" applyBorder="1" applyFont="1" applyNumberFormat="1">
      <alignment horizontal="center"/>
    </xf>
    <xf borderId="21" fillId="3" fontId="2" numFmtId="164" xfId="0" applyAlignment="1" applyBorder="1" applyFont="1" applyNumberFormat="1">
      <alignment horizontal="center"/>
    </xf>
    <xf borderId="26" fillId="0" fontId="1" numFmtId="164" xfId="0" applyAlignment="1" applyBorder="1" applyFont="1" applyNumberFormat="1">
      <alignment horizontal="center"/>
    </xf>
    <xf borderId="26" fillId="0" fontId="1" numFmtId="164" xfId="0" applyAlignment="1" applyBorder="1" applyFont="1" applyNumberFormat="1">
      <alignment horizontal="right"/>
    </xf>
    <xf borderId="27" fillId="0" fontId="1" numFmtId="164" xfId="0" applyAlignment="1" applyBorder="1" applyFont="1" applyNumberFormat="1">
      <alignment horizontal="right"/>
    </xf>
    <xf borderId="29" fillId="3" fontId="2" numFmtId="164" xfId="0" applyAlignment="1" applyBorder="1" applyFont="1" applyNumberFormat="1">
      <alignment horizontal="center"/>
    </xf>
    <xf borderId="30" fillId="3" fontId="2" numFmtId="164" xfId="0" applyAlignment="1" applyBorder="1" applyFont="1" applyNumberFormat="1">
      <alignment horizontal="center"/>
    </xf>
    <xf borderId="31" fillId="0" fontId="1" numFmtId="164" xfId="0" applyBorder="1" applyFont="1" applyNumberFormat="1"/>
    <xf borderId="31" fillId="0" fontId="1" numFmtId="164" xfId="0" applyAlignment="1" applyBorder="1" applyFont="1" applyNumberFormat="1">
      <alignment horizontal="center"/>
    </xf>
    <xf borderId="31" fillId="0" fontId="1" numFmtId="164" xfId="0" applyAlignment="1" applyBorder="1" applyFont="1" applyNumberFormat="1">
      <alignment horizontal="right"/>
    </xf>
    <xf borderId="32" fillId="0" fontId="1" numFmtId="164" xfId="0" applyAlignment="1" applyBorder="1" applyFont="1" applyNumberFormat="1">
      <alignment horizontal="right"/>
    </xf>
    <xf borderId="7" fillId="3" fontId="5" numFmtId="0" xfId="0" applyAlignment="1" applyBorder="1" applyFont="1">
      <alignment horizontal="center" shrinkToFit="0" vertical="center" wrapText="1"/>
    </xf>
    <xf borderId="0" fillId="0" fontId="1" numFmtId="0" xfId="0" applyAlignment="1" applyFont="1">
      <alignment horizontal="center"/>
    </xf>
    <xf borderId="0" fillId="0" fontId="1" numFmtId="0" xfId="0" applyAlignment="1" applyFont="1">
      <alignment horizontal="right"/>
    </xf>
    <xf borderId="33" fillId="0" fontId="6" numFmtId="0" xfId="0" applyAlignment="1" applyBorder="1" applyFont="1">
      <alignment horizontal="right"/>
    </xf>
    <xf borderId="33" fillId="0" fontId="3" numFmtId="0" xfId="0" applyBorder="1" applyFont="1"/>
    <xf borderId="34" fillId="5" fontId="8" numFmtId="0" xfId="0" applyAlignment="1" applyBorder="1" applyFill="1" applyFont="1">
      <alignment horizontal="center" vertical="center"/>
    </xf>
    <xf borderId="35" fillId="5" fontId="8" numFmtId="0" xfId="0" applyAlignment="1" applyBorder="1" applyFont="1">
      <alignment horizontal="left" vertical="center"/>
    </xf>
    <xf borderId="35" fillId="5" fontId="8" numFmtId="0" xfId="0" applyAlignment="1" applyBorder="1" applyFont="1">
      <alignment horizontal="right" vertical="center"/>
    </xf>
    <xf borderId="36" fillId="5" fontId="8" numFmtId="0" xfId="0" applyAlignment="1" applyBorder="1" applyFont="1">
      <alignment horizontal="right" vertical="center"/>
    </xf>
    <xf borderId="37" fillId="0" fontId="9" numFmtId="0" xfId="0" applyAlignment="1" applyBorder="1" applyFont="1">
      <alignment horizontal="left" vertical="center"/>
    </xf>
    <xf borderId="38" fillId="0" fontId="3" numFmtId="0" xfId="0" applyBorder="1" applyFont="1"/>
    <xf borderId="39" fillId="0" fontId="3" numFmtId="0" xfId="0" applyBorder="1" applyFont="1"/>
    <xf borderId="40" fillId="0" fontId="10" numFmtId="0" xfId="0" applyAlignment="1" applyBorder="1" applyFont="1">
      <alignment horizontal="center"/>
    </xf>
    <xf borderId="0" fillId="0" fontId="10" numFmtId="0" xfId="0" applyFont="1"/>
    <xf borderId="0" fillId="0" fontId="8" numFmtId="0" xfId="0" applyFont="1"/>
    <xf borderId="41" fillId="0" fontId="8" numFmtId="0" xfId="0" applyBorder="1" applyFont="1"/>
    <xf borderId="40" fillId="0" fontId="1" numFmtId="0" xfId="0" applyAlignment="1" applyBorder="1" applyFont="1">
      <alignment horizontal="center"/>
    </xf>
    <xf borderId="41" fillId="0" fontId="1" numFmtId="4" xfId="0" applyBorder="1" applyFont="1" applyNumberFormat="1"/>
    <xf borderId="41" fillId="0" fontId="1" numFmtId="0" xfId="0" applyBorder="1" applyFont="1"/>
    <xf borderId="40" fillId="0" fontId="8" numFmtId="0" xfId="0" applyAlignment="1" applyBorder="1" applyFont="1">
      <alignment horizontal="center"/>
    </xf>
    <xf borderId="0" fillId="0" fontId="2" numFmtId="4" xfId="0" applyAlignment="1" applyFont="1" applyNumberFormat="1">
      <alignment horizontal="right"/>
    </xf>
    <xf borderId="41" fillId="0" fontId="2" numFmtId="4" xfId="0" applyAlignment="1" applyBorder="1" applyFont="1" applyNumberFormat="1">
      <alignment horizontal="right"/>
    </xf>
    <xf borderId="0" fillId="0" fontId="11" numFmtId="0" xfId="0" applyFont="1"/>
    <xf borderId="41" fillId="0" fontId="11" numFmtId="3" xfId="0" applyBorder="1" applyFont="1" applyNumberFormat="1"/>
    <xf borderId="41" fillId="0" fontId="11" numFmtId="0" xfId="0" applyBorder="1" applyFont="1"/>
    <xf borderId="0" fillId="0" fontId="11" numFmtId="3" xfId="0" applyFont="1" applyNumberFormat="1"/>
    <xf borderId="42" fillId="3" fontId="8" numFmtId="0" xfId="0" applyAlignment="1" applyBorder="1" applyFont="1">
      <alignment horizontal="left"/>
    </xf>
    <xf borderId="20" fillId="3" fontId="8" numFmtId="4" xfId="0" applyAlignment="1" applyBorder="1" applyFont="1" applyNumberFormat="1">
      <alignment horizontal="right"/>
    </xf>
    <xf borderId="43" fillId="3" fontId="8" numFmtId="4" xfId="0" applyAlignment="1" applyBorder="1" applyFont="1" applyNumberFormat="1">
      <alignment horizontal="right"/>
    </xf>
    <xf borderId="44" fillId="0" fontId="8" numFmtId="0" xfId="0" applyAlignment="1" applyBorder="1" applyFont="1">
      <alignment horizontal="left"/>
    </xf>
    <xf borderId="45" fillId="0" fontId="3" numFmtId="0" xfId="0" applyBorder="1" applyFont="1"/>
    <xf borderId="45" fillId="0" fontId="8" numFmtId="4" xfId="0" applyAlignment="1" applyBorder="1" applyFont="1" applyNumberFormat="1">
      <alignment horizontal="right"/>
    </xf>
    <xf borderId="46" fillId="0" fontId="8" numFmtId="4" xfId="0" applyAlignment="1" applyBorder="1" applyFont="1" applyNumberFormat="1">
      <alignment horizontal="right"/>
    </xf>
    <xf borderId="47" fillId="0" fontId="12" numFmtId="0" xfId="0" applyAlignment="1" applyBorder="1" applyFont="1">
      <alignment horizontal="left" vertical="center"/>
    </xf>
    <xf borderId="48" fillId="0" fontId="3" numFmtId="0" xfId="0" applyBorder="1" applyFont="1"/>
    <xf borderId="49" fillId="0" fontId="3" numFmtId="0" xfId="0" applyBorder="1" applyFont="1"/>
    <xf borderId="0" fillId="0" fontId="13" numFmtId="0" xfId="0" applyFont="1"/>
    <xf borderId="41" fillId="0" fontId="13" numFmtId="0" xfId="0" applyBorder="1" applyFont="1"/>
    <xf borderId="0" fillId="0" fontId="7" numFmtId="0" xfId="0" applyFont="1"/>
    <xf borderId="0" fillId="0" fontId="8" numFmtId="4" xfId="0" applyFont="1" applyNumberFormat="1"/>
    <xf borderId="41" fillId="0" fontId="8" numFmtId="4" xfId="0" applyBorder="1" applyFont="1" applyNumberFormat="1"/>
    <xf borderId="40" fillId="0" fontId="13" numFmtId="0" xfId="0" applyAlignment="1" applyBorder="1" applyFont="1">
      <alignment horizontal="center"/>
    </xf>
    <xf borderId="40" fillId="0" fontId="14" numFmtId="0" xfId="0" applyBorder="1" applyFont="1"/>
    <xf borderId="50" fillId="3" fontId="8" numFmtId="0" xfId="0" applyAlignment="1" applyBorder="1" applyFont="1">
      <alignment horizontal="left"/>
    </xf>
    <xf borderId="51" fillId="0" fontId="3" numFmtId="0" xfId="0" applyBorder="1" applyFont="1"/>
    <xf borderId="52" fillId="3" fontId="8" numFmtId="4" xfId="0" applyBorder="1" applyFont="1" applyNumberFormat="1"/>
    <xf borderId="53" fillId="3" fontId="8" numFmtId="4" xfId="0" applyBorder="1" applyFont="1" applyNumberFormat="1"/>
    <xf borderId="54" fillId="0" fontId="2" numFmtId="0" xfId="0" applyAlignment="1" applyBorder="1" applyFont="1">
      <alignment horizontal="left"/>
    </xf>
    <xf borderId="55" fillId="0" fontId="3" numFmtId="0" xfId="0" applyBorder="1" applyFont="1"/>
    <xf borderId="56" fillId="0" fontId="1" numFmtId="0" xfId="0" applyAlignment="1" applyBorder="1" applyFont="1">
      <alignment horizontal="right"/>
    </xf>
    <xf borderId="56" fillId="0" fontId="2" numFmtId="164" xfId="0" applyAlignment="1" applyBorder="1" applyFont="1" applyNumberFormat="1">
      <alignment horizontal="right"/>
    </xf>
    <xf borderId="57" fillId="0" fontId="2" numFmtId="164" xfId="0" applyAlignment="1" applyBorder="1" applyFont="1" applyNumberFormat="1">
      <alignment horizontal="right"/>
    </xf>
    <xf borderId="0" fillId="0" fontId="5" numFmtId="0" xfId="0" applyAlignment="1" applyFont="1">
      <alignment shrinkToFit="0" vertical="center" wrapText="1"/>
    </xf>
    <xf borderId="58" fillId="4" fontId="2" numFmtId="0" xfId="0" applyAlignment="1" applyBorder="1" applyFont="1">
      <alignment vertical="center"/>
    </xf>
    <xf borderId="59" fillId="4" fontId="2" numFmtId="0" xfId="0" applyAlignment="1" applyBorder="1" applyFont="1">
      <alignment horizontal="right" vertical="center"/>
    </xf>
    <xf borderId="60" fillId="4" fontId="2" numFmtId="0" xfId="0" applyAlignment="1" applyBorder="1" applyFont="1">
      <alignment horizontal="right" vertical="center"/>
    </xf>
    <xf borderId="0" fillId="0" fontId="1" numFmtId="0" xfId="0" applyAlignment="1" applyFont="1">
      <alignment vertical="center"/>
    </xf>
    <xf borderId="58" fillId="4" fontId="1" numFmtId="0" xfId="0" applyBorder="1" applyFont="1"/>
    <xf borderId="59" fillId="4" fontId="1" numFmtId="164" xfId="0" applyBorder="1" applyFont="1" applyNumberFormat="1"/>
    <xf borderId="60" fillId="4" fontId="1" numFmtId="164" xfId="0" applyBorder="1" applyFont="1" applyNumberFormat="1"/>
    <xf borderId="0" fillId="0" fontId="6" numFmtId="0" xfId="0" applyAlignment="1" applyFont="1">
      <alignment horizontal="right"/>
    </xf>
    <xf borderId="1" fillId="6" fontId="15" numFmtId="0" xfId="0" applyAlignment="1" applyBorder="1" applyFill="1" applyFont="1">
      <alignment horizontal="center" shrinkToFit="0" vertical="center" wrapText="1"/>
    </xf>
    <xf borderId="61" fillId="4" fontId="2" numFmtId="164" xfId="0" applyAlignment="1" applyBorder="1" applyFont="1" applyNumberFormat="1">
      <alignment horizontal="left" vertical="center"/>
    </xf>
    <xf borderId="62" fillId="4" fontId="2" numFmtId="164" xfId="0" applyAlignment="1" applyBorder="1" applyFont="1" applyNumberFormat="1">
      <alignment horizontal="center" vertical="center"/>
    </xf>
    <xf borderId="63" fillId="4" fontId="2" numFmtId="164" xfId="0" applyAlignment="1" applyBorder="1" applyFont="1" applyNumberFormat="1">
      <alignment horizontal="right" vertical="center"/>
    </xf>
    <xf borderId="62" fillId="4" fontId="2" numFmtId="164" xfId="0" applyAlignment="1" applyBorder="1" applyFont="1" applyNumberFormat="1">
      <alignment horizontal="right" vertical="center"/>
    </xf>
    <xf borderId="64" fillId="4" fontId="2" numFmtId="164" xfId="0" applyAlignment="1" applyBorder="1" applyFont="1" applyNumberFormat="1">
      <alignment horizontal="right" vertical="center"/>
    </xf>
    <xf borderId="65" fillId="0" fontId="12" numFmtId="164" xfId="0" applyAlignment="1" applyBorder="1" applyFont="1" applyNumberFormat="1">
      <alignment horizontal="left" vertical="center"/>
    </xf>
    <xf borderId="66" fillId="0" fontId="3" numFmtId="0" xfId="0" applyBorder="1" applyFont="1"/>
    <xf borderId="67" fillId="0" fontId="3" numFmtId="0" xfId="0" applyBorder="1" applyFont="1"/>
    <xf borderId="68" fillId="0" fontId="1" numFmtId="164" xfId="0" applyBorder="1" applyFont="1" applyNumberFormat="1"/>
    <xf borderId="48" fillId="0" fontId="1" numFmtId="164" xfId="0" applyAlignment="1" applyBorder="1" applyFont="1" applyNumberFormat="1">
      <alignment horizontal="center"/>
    </xf>
    <xf borderId="69" fillId="0" fontId="1" numFmtId="164" xfId="0" applyAlignment="1" applyBorder="1" applyFont="1" applyNumberFormat="1">
      <alignment horizontal="right"/>
    </xf>
    <xf borderId="70" fillId="0" fontId="1" numFmtId="164" xfId="0" applyAlignment="1" applyBorder="1" applyFont="1" applyNumberFormat="1">
      <alignment horizontal="right"/>
    </xf>
    <xf borderId="68" fillId="0" fontId="1" numFmtId="164" xfId="0" applyAlignment="1" applyBorder="1" applyFont="1" applyNumberFormat="1">
      <alignment horizontal="left" vertical="center"/>
    </xf>
    <xf borderId="48" fillId="0" fontId="1" numFmtId="164" xfId="0" applyAlignment="1" applyBorder="1" applyFont="1" applyNumberFormat="1">
      <alignment horizontal="center" shrinkToFit="0" vertical="center" wrapText="1"/>
    </xf>
    <xf borderId="69" fillId="0" fontId="1" numFmtId="164" xfId="0" applyAlignment="1" applyBorder="1" applyFont="1" applyNumberFormat="1">
      <alignment horizontal="right" vertical="center"/>
    </xf>
    <xf borderId="71" fillId="0" fontId="1" numFmtId="164" xfId="0" applyAlignment="1" applyBorder="1" applyFont="1" applyNumberFormat="1">
      <alignment horizontal="right" vertical="center"/>
    </xf>
    <xf borderId="72" fillId="0" fontId="12" numFmtId="164" xfId="0" applyAlignment="1" applyBorder="1" applyFont="1" applyNumberFormat="1">
      <alignment horizontal="left" vertical="center"/>
    </xf>
    <xf borderId="73" fillId="0" fontId="3" numFmtId="0" xfId="0" applyBorder="1" applyFont="1"/>
    <xf borderId="74" fillId="0" fontId="1" numFmtId="164" xfId="0" applyBorder="1" applyFont="1" applyNumberFormat="1"/>
    <xf borderId="75" fillId="0" fontId="1" numFmtId="164" xfId="0" applyAlignment="1" applyBorder="1" applyFont="1" applyNumberFormat="1">
      <alignment horizontal="center"/>
    </xf>
    <xf borderId="76" fillId="0" fontId="1" numFmtId="164" xfId="0" applyAlignment="1" applyBorder="1" applyFont="1" applyNumberFormat="1">
      <alignment horizontal="right"/>
    </xf>
    <xf borderId="77" fillId="0" fontId="1" numFmtId="164" xfId="0" applyAlignment="1" applyBorder="1" applyFont="1" applyNumberFormat="1">
      <alignment horizontal="right"/>
    </xf>
    <xf borderId="78" fillId="0" fontId="1" numFmtId="164" xfId="0" applyBorder="1" applyFont="1" applyNumberFormat="1"/>
    <xf borderId="79" fillId="0" fontId="1" numFmtId="164" xfId="0" applyAlignment="1" applyBorder="1" applyFont="1" applyNumberFormat="1">
      <alignment horizontal="center"/>
    </xf>
    <xf borderId="80" fillId="0" fontId="1" numFmtId="164" xfId="0" applyAlignment="1" applyBorder="1" applyFont="1" applyNumberFormat="1">
      <alignment horizontal="right"/>
    </xf>
    <xf borderId="81" fillId="0" fontId="1" numFmtId="164" xfId="0" applyAlignment="1" applyBorder="1" applyFont="1" applyNumberFormat="1">
      <alignment horizontal="right"/>
    </xf>
    <xf borderId="0" fillId="0" fontId="16" numFmtId="0" xfId="0" applyFont="1"/>
    <xf borderId="0" fillId="0" fontId="17" numFmtId="0" xfId="0" applyFont="1"/>
    <xf borderId="0" fillId="0" fontId="18" numFmtId="0" xfId="0" applyFont="1"/>
    <xf borderId="0" fillId="0" fontId="19" numFmtId="0" xfId="0" applyAlignment="1" applyFont="1">
      <alignment horizontal="right"/>
    </xf>
    <xf borderId="0" fillId="0" fontId="20" numFmtId="0" xfId="0" applyAlignment="1" applyFont="1">
      <alignment horizontal="right"/>
    </xf>
    <xf borderId="0" fillId="0" fontId="20" numFmtId="10" xfId="0" applyFont="1" applyNumberFormat="1"/>
    <xf quotePrefix="1" borderId="0" fillId="0" fontId="19" numFmtId="0" xfId="0" applyFont="1"/>
    <xf borderId="0" fillId="0" fontId="19" numFmtId="164" xfId="0" applyFont="1" applyNumberFormat="1"/>
    <xf borderId="0" fillId="0" fontId="19" numFmtId="10" xfId="0" applyFont="1" applyNumberFormat="1"/>
    <xf borderId="0" fillId="0" fontId="21" numFmtId="4" xfId="0" applyAlignment="1" applyFont="1" applyNumberFormat="1">
      <alignment readingOrder="0"/>
    </xf>
    <xf borderId="0" fillId="0" fontId="19" numFmtId="165" xfId="0" applyFont="1" applyNumberFormat="1"/>
    <xf borderId="45" fillId="0" fontId="19" numFmtId="0" xfId="0" applyBorder="1" applyFont="1"/>
    <xf borderId="45" fillId="0" fontId="19" numFmtId="2" xfId="0" applyBorder="1" applyFont="1" applyNumberFormat="1"/>
    <xf borderId="45" fillId="0" fontId="19" numFmtId="10" xfId="0" applyBorder="1" applyFont="1" applyNumberFormat="1"/>
    <xf borderId="0" fillId="0" fontId="19" numFmtId="166" xfId="0" applyFont="1" applyNumberFormat="1"/>
    <xf borderId="45" fillId="0" fontId="19" numFmtId="165" xfId="0" applyBorder="1" applyFont="1" applyNumberFormat="1"/>
    <xf quotePrefix="1" borderId="20" fillId="2" fontId="19" numFmtId="0" xfId="0" applyBorder="1" applyFont="1"/>
    <xf borderId="20" fillId="2" fontId="19" numFmtId="0" xfId="0" applyBorder="1" applyFont="1"/>
    <xf borderId="20" fillId="2" fontId="19" numFmtId="166" xfId="0" applyBorder="1" applyFont="1" applyNumberFormat="1"/>
    <xf borderId="0" fillId="0" fontId="21" numFmtId="164" xfId="0" applyAlignment="1" applyFont="1" applyNumberFormat="1">
      <alignment readingOrder="0"/>
    </xf>
    <xf borderId="0" fillId="0" fontId="22" numFmtId="0" xfId="0" applyFont="1"/>
    <xf borderId="0" fillId="0" fontId="22" numFmtId="9" xfId="0" applyFont="1" applyNumberFormat="1"/>
    <xf borderId="0" fillId="0" fontId="19" numFmtId="9" xfId="0" applyFont="1" applyNumberFormat="1"/>
    <xf borderId="0" fillId="0" fontId="19" numFmtId="4" xfId="0" applyFont="1" applyNumberFormat="1"/>
    <xf borderId="0" fillId="0" fontId="23" numFmtId="164" xfId="0" applyAlignment="1" applyFont="1" applyNumberFormat="1">
      <alignment readingOrder="0" shrinkToFit="0" vertical="bottom" wrapText="0"/>
    </xf>
    <xf borderId="82" fillId="0" fontId="17" numFmtId="0" xfId="0" applyBorder="1" applyFont="1"/>
    <xf borderId="82" fillId="0" fontId="17" numFmtId="164" xfId="0" applyBorder="1" applyFont="1" applyNumberFormat="1"/>
    <xf borderId="0" fillId="0" fontId="24" numFmtId="0" xfId="0" applyFont="1"/>
    <xf borderId="0" fillId="0" fontId="24" numFmtId="164" xfId="0" applyFont="1" applyNumberFormat="1"/>
    <xf borderId="0" fillId="0" fontId="19" numFmtId="3" xfId="0" applyFont="1" applyNumberFormat="1"/>
    <xf borderId="0" fillId="0" fontId="25"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externalLink" Target="externalLinks/externalLink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19050</xdr:colOff>
      <xdr:row>0</xdr:row>
      <xdr:rowOff>0</xdr:rowOff>
    </xdr:from>
    <xdr:ext cx="6762750" cy="3267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ivedha/Documents/Pre-MBA/PM%20Finance/Tata%20Steel%20Analysis.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heory"/>
      <sheetName val="About"/>
      <sheetName val="MD&amp;A"/>
      <sheetName val="SOPL"/>
      <sheetName val="."/>
      <sheetName val="SOFP"/>
      <sheetName val=".."/>
      <sheetName val="COGS"/>
      <sheetName val="CCC"/>
      <sheetName val="EBIT"/>
      <sheetName val="Ratio"/>
      <sheetName val="Project"/>
      <sheetName val="Valu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8" width="10.78"/>
    <col customWidth="1" min="19" max="26" width="10.56"/>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t="s">
        <v>0</v>
      </c>
      <c r="C2" s="3"/>
      <c r="D2" s="1"/>
      <c r="E2" s="1"/>
      <c r="F2" s="1"/>
      <c r="G2" s="1"/>
      <c r="H2" s="2" t="s">
        <v>1</v>
      </c>
      <c r="I2" s="3"/>
      <c r="J2" s="1"/>
      <c r="K2" s="1"/>
      <c r="L2" s="1"/>
      <c r="M2" s="1"/>
      <c r="N2" s="2" t="s">
        <v>2</v>
      </c>
      <c r="O2" s="3"/>
      <c r="P2" s="1"/>
      <c r="Q2" s="1"/>
      <c r="R2" s="1"/>
      <c r="S2" s="1"/>
      <c r="T2" s="1"/>
      <c r="U2" s="1"/>
      <c r="V2" s="1"/>
      <c r="W2" s="1"/>
      <c r="X2" s="1"/>
      <c r="Y2" s="1"/>
      <c r="Z2" s="1"/>
    </row>
    <row r="3" ht="102.0" customHeight="1">
      <c r="A3" s="1"/>
      <c r="B3" s="4" t="s">
        <v>3</v>
      </c>
      <c r="C3" s="5"/>
      <c r="D3" s="5"/>
      <c r="E3" s="5"/>
      <c r="F3" s="6"/>
      <c r="G3" s="1"/>
      <c r="H3" s="4" t="s">
        <v>4</v>
      </c>
      <c r="I3" s="5"/>
      <c r="J3" s="5"/>
      <c r="K3" s="5"/>
      <c r="L3" s="6"/>
      <c r="M3" s="1"/>
      <c r="N3" s="4" t="s">
        <v>5</v>
      </c>
      <c r="O3" s="5"/>
      <c r="P3" s="5"/>
      <c r="Q3" s="5"/>
      <c r="R3" s="6"/>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2" t="s">
        <v>6</v>
      </c>
      <c r="C5" s="3"/>
      <c r="D5" s="1"/>
      <c r="E5" s="1"/>
      <c r="F5" s="1"/>
      <c r="G5" s="1"/>
      <c r="H5" s="2" t="s">
        <v>7</v>
      </c>
      <c r="I5" s="7"/>
      <c r="J5" s="3"/>
      <c r="K5" s="1"/>
      <c r="L5" s="1"/>
      <c r="M5" s="1"/>
      <c r="N5" s="2" t="s">
        <v>8</v>
      </c>
      <c r="O5" s="7"/>
      <c r="P5" s="3"/>
      <c r="Q5" s="1"/>
      <c r="R5" s="1"/>
      <c r="S5" s="1"/>
      <c r="T5" s="1"/>
      <c r="U5" s="1"/>
      <c r="V5" s="1"/>
      <c r="W5" s="1"/>
      <c r="X5" s="1"/>
      <c r="Y5" s="1"/>
      <c r="Z5" s="1"/>
    </row>
    <row r="6" ht="150.75" customHeight="1">
      <c r="A6" s="1"/>
      <c r="B6" s="4" t="s">
        <v>9</v>
      </c>
      <c r="C6" s="5"/>
      <c r="D6" s="5"/>
      <c r="E6" s="5"/>
      <c r="F6" s="6"/>
      <c r="G6" s="1"/>
      <c r="H6" s="4" t="s">
        <v>10</v>
      </c>
      <c r="I6" s="5"/>
      <c r="J6" s="5"/>
      <c r="K6" s="5"/>
      <c r="L6" s="6"/>
      <c r="M6" s="1"/>
      <c r="N6" s="4" t="s">
        <v>11</v>
      </c>
      <c r="O6" s="5"/>
      <c r="P6" s="5"/>
      <c r="Q6" s="5"/>
      <c r="R6" s="6"/>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2" t="s">
        <v>12</v>
      </c>
      <c r="I8" s="7"/>
      <c r="J8" s="3"/>
      <c r="K8" s="1"/>
      <c r="L8" s="1"/>
      <c r="M8" s="1"/>
      <c r="N8" s="2" t="s">
        <v>13</v>
      </c>
      <c r="O8" s="7"/>
      <c r="P8" s="3"/>
      <c r="Q8" s="1"/>
      <c r="R8" s="1"/>
      <c r="S8" s="1"/>
      <c r="T8" s="1"/>
      <c r="U8" s="1"/>
      <c r="V8" s="1"/>
      <c r="W8" s="1"/>
      <c r="X8" s="1"/>
      <c r="Y8" s="1"/>
      <c r="Z8" s="1"/>
    </row>
    <row r="9" ht="118.5" customHeight="1">
      <c r="A9" s="1"/>
      <c r="B9" s="1"/>
      <c r="C9" s="1"/>
      <c r="D9" s="1"/>
      <c r="E9" s="1"/>
      <c r="F9" s="1"/>
      <c r="G9" s="1"/>
      <c r="H9" s="4" t="s">
        <v>14</v>
      </c>
      <c r="I9" s="5"/>
      <c r="J9" s="5"/>
      <c r="K9" s="5"/>
      <c r="L9" s="6"/>
      <c r="M9" s="1"/>
      <c r="N9" s="8" t="s">
        <v>15</v>
      </c>
      <c r="O9" s="5"/>
      <c r="P9" s="5"/>
      <c r="Q9" s="5"/>
      <c r="R9" s="6"/>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2" t="s">
        <v>16</v>
      </c>
      <c r="O11" s="7"/>
      <c r="P11" s="3"/>
      <c r="Q11" s="1"/>
      <c r="R11" s="1"/>
      <c r="S11" s="1"/>
      <c r="T11" s="1"/>
      <c r="U11" s="1"/>
      <c r="V11" s="1"/>
      <c r="W11" s="1"/>
      <c r="X11" s="1"/>
      <c r="Y11" s="1"/>
      <c r="Z11" s="1"/>
    </row>
    <row r="12" ht="42.75" customHeight="1">
      <c r="A12" s="1"/>
      <c r="B12" s="1"/>
      <c r="C12" s="1"/>
      <c r="D12" s="1"/>
      <c r="E12" s="1"/>
      <c r="F12" s="1"/>
      <c r="G12" s="1"/>
      <c r="H12" s="1"/>
      <c r="I12" s="1"/>
      <c r="J12" s="1"/>
      <c r="K12" s="1"/>
      <c r="L12" s="1"/>
      <c r="M12" s="1"/>
      <c r="N12" s="8" t="s">
        <v>17</v>
      </c>
      <c r="O12" s="5"/>
      <c r="P12" s="5"/>
      <c r="Q12" s="5"/>
      <c r="R12" s="6"/>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8">
    <mergeCell ref="H5:J5"/>
    <mergeCell ref="N5:P5"/>
    <mergeCell ref="H8:J8"/>
    <mergeCell ref="N8:P8"/>
    <mergeCell ref="H9:L9"/>
    <mergeCell ref="N9:R9"/>
    <mergeCell ref="N11:P11"/>
    <mergeCell ref="N12:R12"/>
    <mergeCell ref="B6:F6"/>
    <mergeCell ref="H6:L6"/>
    <mergeCell ref="N6:R6"/>
    <mergeCell ref="B2:C2"/>
    <mergeCell ref="H2:I2"/>
    <mergeCell ref="N2:O2"/>
    <mergeCell ref="B3:F3"/>
    <mergeCell ref="H3:L3"/>
    <mergeCell ref="N3:R3"/>
    <mergeCell ref="B5:C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outlineLevelRow="1"/>
  <cols>
    <col customWidth="1" min="1" max="1" width="70.44"/>
    <col customWidth="1" min="2" max="4" width="12.0"/>
    <col customWidth="1" min="5" max="6" width="10.78"/>
    <col customWidth="1" min="7" max="26" width="10.56"/>
  </cols>
  <sheetData>
    <row r="1" ht="49.5" customHeight="1">
      <c r="A1" s="9" t="s">
        <v>18</v>
      </c>
      <c r="B1" s="10"/>
      <c r="C1" s="10"/>
      <c r="D1" s="11"/>
      <c r="E1" s="1"/>
      <c r="F1" s="1"/>
      <c r="G1" s="1"/>
      <c r="H1" s="1"/>
      <c r="I1" s="1"/>
      <c r="J1" s="1"/>
      <c r="K1" s="1"/>
      <c r="L1" s="1"/>
      <c r="M1" s="1"/>
      <c r="N1" s="1"/>
      <c r="O1" s="1"/>
      <c r="P1" s="1"/>
      <c r="Q1" s="1"/>
      <c r="R1" s="1"/>
      <c r="S1" s="1"/>
      <c r="T1" s="1"/>
      <c r="U1" s="1"/>
      <c r="V1" s="1"/>
      <c r="W1" s="1"/>
      <c r="X1" s="1"/>
      <c r="Y1" s="1"/>
      <c r="Z1" s="1"/>
    </row>
    <row r="2" ht="15.75" customHeight="1">
      <c r="A2" s="12"/>
      <c r="B2" s="13"/>
      <c r="C2" s="14" t="s">
        <v>19</v>
      </c>
      <c r="D2" s="15"/>
      <c r="E2" s="1"/>
      <c r="F2" s="1"/>
      <c r="G2" s="1"/>
      <c r="H2" s="1"/>
      <c r="I2" s="1"/>
      <c r="J2" s="1"/>
      <c r="K2" s="1"/>
      <c r="L2" s="1"/>
      <c r="M2" s="1"/>
      <c r="N2" s="1"/>
      <c r="O2" s="1"/>
      <c r="P2" s="1"/>
      <c r="Q2" s="1"/>
      <c r="R2" s="1"/>
      <c r="S2" s="1"/>
      <c r="T2" s="1"/>
      <c r="U2" s="1"/>
      <c r="V2" s="1"/>
      <c r="W2" s="1"/>
      <c r="X2" s="1"/>
      <c r="Y2" s="1"/>
      <c r="Z2" s="1"/>
    </row>
    <row r="3" ht="24.75" customHeight="1">
      <c r="A3" s="16" t="s">
        <v>20</v>
      </c>
      <c r="B3" s="17" t="s">
        <v>21</v>
      </c>
      <c r="C3" s="17" t="s">
        <v>22</v>
      </c>
      <c r="D3" s="18" t="s">
        <v>23</v>
      </c>
      <c r="E3" s="1"/>
      <c r="F3" s="1"/>
      <c r="G3" s="1"/>
      <c r="H3" s="1"/>
      <c r="I3" s="1"/>
      <c r="J3" s="1"/>
      <c r="K3" s="1"/>
      <c r="L3" s="1"/>
      <c r="M3" s="1"/>
      <c r="N3" s="1"/>
      <c r="O3" s="1"/>
      <c r="P3" s="1"/>
      <c r="Q3" s="1"/>
      <c r="R3" s="1"/>
      <c r="S3" s="1"/>
      <c r="T3" s="1"/>
      <c r="U3" s="1"/>
      <c r="V3" s="1"/>
      <c r="W3" s="1"/>
      <c r="X3" s="1"/>
      <c r="Y3" s="1"/>
      <c r="Z3" s="1"/>
    </row>
    <row r="4" ht="16.5" hidden="1" customHeight="1" outlineLevel="1">
      <c r="A4" s="19" t="s">
        <v>24</v>
      </c>
      <c r="B4" s="20"/>
      <c r="C4" s="20"/>
      <c r="D4" s="21"/>
      <c r="E4" s="1"/>
      <c r="F4" s="1"/>
      <c r="G4" s="1"/>
      <c r="H4" s="1"/>
      <c r="I4" s="1"/>
      <c r="J4" s="1"/>
      <c r="K4" s="1"/>
      <c r="L4" s="1"/>
      <c r="M4" s="1"/>
      <c r="N4" s="1"/>
      <c r="O4" s="1"/>
      <c r="P4" s="1"/>
      <c r="Q4" s="1"/>
      <c r="R4" s="1"/>
      <c r="S4" s="1"/>
      <c r="T4" s="1"/>
      <c r="U4" s="1"/>
      <c r="V4" s="1"/>
      <c r="W4" s="1"/>
      <c r="X4" s="1"/>
      <c r="Y4" s="1"/>
      <c r="Z4" s="1"/>
    </row>
    <row r="5" ht="15.75" hidden="1" customHeight="1" outlineLevel="1">
      <c r="A5" s="22" t="s">
        <v>25</v>
      </c>
      <c r="B5" s="20">
        <v>4650.0</v>
      </c>
      <c r="C5" s="20">
        <v>6601.0</v>
      </c>
      <c r="D5" s="21">
        <v>8592.0</v>
      </c>
      <c r="E5" s="1"/>
      <c r="F5" s="1"/>
      <c r="G5" s="1"/>
      <c r="H5" s="1"/>
      <c r="I5" s="1"/>
      <c r="J5" s="1"/>
      <c r="K5" s="1"/>
      <c r="L5" s="1"/>
      <c r="M5" s="1"/>
      <c r="N5" s="1"/>
      <c r="O5" s="1"/>
      <c r="P5" s="1"/>
      <c r="Q5" s="1"/>
      <c r="R5" s="1"/>
      <c r="S5" s="1"/>
      <c r="T5" s="1"/>
      <c r="U5" s="1"/>
      <c r="V5" s="1"/>
      <c r="W5" s="1"/>
      <c r="X5" s="1"/>
      <c r="Y5" s="1"/>
      <c r="Z5" s="1"/>
    </row>
    <row r="6" ht="15.75" hidden="1" customHeight="1" outlineLevel="1">
      <c r="A6" s="22" t="s">
        <v>26</v>
      </c>
      <c r="B6" s="20">
        <v>13.0</v>
      </c>
      <c r="C6" s="20">
        <v>17.0</v>
      </c>
      <c r="D6" s="21">
        <v>25.0</v>
      </c>
      <c r="E6" s="1"/>
      <c r="F6" s="1"/>
      <c r="G6" s="1"/>
      <c r="H6" s="1"/>
      <c r="I6" s="1"/>
      <c r="J6" s="1"/>
      <c r="K6" s="1"/>
      <c r="L6" s="1"/>
      <c r="M6" s="1"/>
      <c r="N6" s="1"/>
      <c r="O6" s="1"/>
      <c r="P6" s="1"/>
      <c r="Q6" s="1"/>
      <c r="R6" s="1"/>
      <c r="S6" s="1"/>
      <c r="T6" s="1"/>
      <c r="U6" s="1"/>
      <c r="V6" s="1"/>
      <c r="W6" s="1"/>
      <c r="X6" s="1"/>
      <c r="Y6" s="1"/>
      <c r="Z6" s="1"/>
    </row>
    <row r="7" ht="15.75" hidden="1" customHeight="1" outlineLevel="1">
      <c r="A7" s="19" t="s">
        <v>27</v>
      </c>
      <c r="B7" s="20"/>
      <c r="C7" s="12"/>
      <c r="D7" s="21"/>
      <c r="E7" s="1"/>
      <c r="F7" s="1"/>
      <c r="G7" s="1"/>
      <c r="H7" s="1"/>
      <c r="I7" s="1"/>
      <c r="J7" s="1"/>
      <c r="K7" s="1"/>
      <c r="L7" s="1"/>
      <c r="M7" s="1"/>
      <c r="N7" s="1"/>
      <c r="O7" s="1"/>
      <c r="P7" s="1"/>
      <c r="Q7" s="1"/>
      <c r="R7" s="1"/>
      <c r="S7" s="1"/>
      <c r="T7" s="1"/>
      <c r="U7" s="1"/>
      <c r="V7" s="1"/>
      <c r="W7" s="1"/>
      <c r="X7" s="1"/>
      <c r="Y7" s="1"/>
      <c r="Z7" s="1"/>
    </row>
    <row r="8" ht="15.75" hidden="1" customHeight="1" outlineLevel="1">
      <c r="A8" s="22" t="s">
        <v>28</v>
      </c>
      <c r="B8" s="20">
        <v>0.0</v>
      </c>
      <c r="C8" s="12">
        <v>4.0</v>
      </c>
      <c r="D8" s="21">
        <v>0.0</v>
      </c>
      <c r="E8" s="1"/>
      <c r="F8" s="1"/>
      <c r="G8" s="1"/>
      <c r="H8" s="1"/>
      <c r="I8" s="1"/>
      <c r="J8" s="1"/>
      <c r="K8" s="1"/>
      <c r="L8" s="1"/>
      <c r="M8" s="1"/>
      <c r="N8" s="1"/>
      <c r="O8" s="1"/>
      <c r="P8" s="1"/>
      <c r="Q8" s="1"/>
      <c r="R8" s="1"/>
      <c r="S8" s="1"/>
      <c r="T8" s="1"/>
      <c r="U8" s="1"/>
      <c r="V8" s="1"/>
      <c r="W8" s="1"/>
      <c r="X8" s="1"/>
      <c r="Y8" s="1"/>
      <c r="Z8" s="1"/>
    </row>
    <row r="9" ht="15.75" hidden="1" customHeight="1" outlineLevel="1">
      <c r="A9" s="22" t="s">
        <v>29</v>
      </c>
      <c r="B9" s="20">
        <v>44.0</v>
      </c>
      <c r="C9" s="20">
        <v>0.0</v>
      </c>
      <c r="D9" s="21">
        <v>0.0</v>
      </c>
      <c r="E9" s="1"/>
      <c r="F9" s="1"/>
      <c r="G9" s="1"/>
      <c r="H9" s="1"/>
      <c r="I9" s="1"/>
      <c r="J9" s="1"/>
      <c r="K9" s="1"/>
      <c r="L9" s="1"/>
      <c r="M9" s="1"/>
      <c r="N9" s="1"/>
      <c r="O9" s="1"/>
      <c r="P9" s="1"/>
      <c r="Q9" s="1"/>
      <c r="R9" s="1"/>
      <c r="S9" s="1"/>
      <c r="T9" s="1"/>
      <c r="U9" s="1"/>
      <c r="V9" s="1"/>
      <c r="W9" s="1"/>
      <c r="X9" s="1"/>
      <c r="Y9" s="1"/>
      <c r="Z9" s="1"/>
    </row>
    <row r="10" ht="15.75" hidden="1" customHeight="1" outlineLevel="1">
      <c r="A10" s="22" t="s">
        <v>30</v>
      </c>
      <c r="B10" s="20">
        <f t="shared" ref="B10:D10" si="1">SUM(B5:B9)</f>
        <v>4707</v>
      </c>
      <c r="C10" s="20">
        <f t="shared" si="1"/>
        <v>6622</v>
      </c>
      <c r="D10" s="21">
        <f t="shared" si="1"/>
        <v>8617</v>
      </c>
      <c r="E10" s="1"/>
      <c r="F10" s="1"/>
      <c r="G10" s="1"/>
      <c r="H10" s="1"/>
      <c r="I10" s="1"/>
      <c r="J10" s="1"/>
      <c r="K10" s="1"/>
      <c r="L10" s="1"/>
      <c r="M10" s="1"/>
      <c r="N10" s="1"/>
      <c r="O10" s="1"/>
      <c r="P10" s="1"/>
      <c r="Q10" s="1"/>
      <c r="R10" s="1"/>
      <c r="S10" s="1"/>
      <c r="T10" s="1"/>
      <c r="U10" s="1"/>
      <c r="V10" s="1"/>
      <c r="W10" s="1"/>
      <c r="X10" s="1"/>
      <c r="Y10" s="1"/>
      <c r="Z10" s="1"/>
    </row>
    <row r="11" ht="15.75" hidden="1" customHeight="1" outlineLevel="1">
      <c r="A11" s="22" t="s">
        <v>31</v>
      </c>
      <c r="B11" s="20">
        <v>800.0</v>
      </c>
      <c r="C11" s="20">
        <v>920.0</v>
      </c>
      <c r="D11" s="21">
        <v>1260.0</v>
      </c>
      <c r="E11" s="1"/>
      <c r="F11" s="1"/>
      <c r="G11" s="1"/>
      <c r="H11" s="1"/>
      <c r="I11" s="1"/>
      <c r="J11" s="1"/>
      <c r="K11" s="1"/>
      <c r="L11" s="1"/>
      <c r="M11" s="1"/>
      <c r="N11" s="1"/>
      <c r="O11" s="1"/>
      <c r="P11" s="1"/>
      <c r="Q11" s="1"/>
      <c r="R11" s="1"/>
      <c r="S11" s="1"/>
      <c r="T11" s="1"/>
      <c r="U11" s="1"/>
      <c r="V11" s="1"/>
      <c r="W11" s="1"/>
      <c r="X11" s="1"/>
      <c r="Y11" s="1"/>
      <c r="Z11" s="1"/>
    </row>
    <row r="12" ht="15.75" customHeight="1" collapsed="1">
      <c r="A12" s="23" t="s">
        <v>32</v>
      </c>
      <c r="B12" s="24">
        <f t="shared" ref="B12:D12" si="2">SUM(B10:B11)</f>
        <v>5507</v>
      </c>
      <c r="C12" s="24">
        <f t="shared" si="2"/>
        <v>7542</v>
      </c>
      <c r="D12" s="25">
        <f t="shared" si="2"/>
        <v>9877</v>
      </c>
      <c r="E12" s="1"/>
      <c r="F12" s="1"/>
      <c r="G12" s="1"/>
      <c r="H12" s="1"/>
      <c r="I12" s="1"/>
      <c r="J12" s="1"/>
      <c r="K12" s="1"/>
      <c r="L12" s="1"/>
      <c r="M12" s="1"/>
      <c r="N12" s="1"/>
      <c r="O12" s="1"/>
      <c r="P12" s="1"/>
      <c r="Q12" s="1"/>
      <c r="R12" s="1"/>
      <c r="S12" s="1"/>
      <c r="T12" s="1"/>
      <c r="U12" s="1"/>
      <c r="V12" s="1"/>
      <c r="W12" s="1"/>
      <c r="X12" s="1"/>
      <c r="Y12" s="1"/>
      <c r="Z12" s="1"/>
    </row>
    <row r="13" ht="15.75" customHeight="1">
      <c r="A13" s="26" t="s">
        <v>33</v>
      </c>
      <c r="B13" s="12"/>
      <c r="C13" s="12">
        <f t="shared" ref="C13:D13" si="3">(C12/B12-1)*100</f>
        <v>36.95296895</v>
      </c>
      <c r="D13" s="27">
        <f t="shared" si="3"/>
        <v>30.95995757</v>
      </c>
      <c r="E13" s="1"/>
      <c r="F13" s="1"/>
      <c r="G13" s="1"/>
      <c r="H13" s="1"/>
      <c r="I13" s="1"/>
      <c r="J13" s="1"/>
      <c r="K13" s="1"/>
      <c r="L13" s="1"/>
      <c r="M13" s="1"/>
      <c r="N13" s="1"/>
      <c r="O13" s="1"/>
      <c r="P13" s="1"/>
      <c r="Q13" s="1"/>
      <c r="R13" s="1"/>
      <c r="S13" s="1"/>
      <c r="T13" s="1"/>
      <c r="U13" s="1"/>
      <c r="V13" s="1"/>
      <c r="W13" s="1"/>
      <c r="X13" s="1"/>
      <c r="Y13" s="1"/>
      <c r="Z13" s="1"/>
    </row>
    <row r="14" ht="15.75" customHeight="1">
      <c r="A14" s="26"/>
      <c r="B14" s="12"/>
      <c r="C14" s="12"/>
      <c r="D14" s="27"/>
      <c r="E14" s="1"/>
      <c r="F14" s="1"/>
      <c r="G14" s="1"/>
      <c r="H14" s="1"/>
      <c r="I14" s="1"/>
      <c r="J14" s="1"/>
      <c r="K14" s="1"/>
      <c r="L14" s="1"/>
      <c r="M14" s="1"/>
      <c r="N14" s="1"/>
      <c r="O14" s="1"/>
      <c r="P14" s="1"/>
      <c r="Q14" s="1"/>
      <c r="R14" s="1"/>
      <c r="S14" s="1"/>
      <c r="T14" s="1"/>
      <c r="U14" s="1"/>
      <c r="V14" s="1"/>
      <c r="W14" s="1"/>
      <c r="X14" s="1"/>
      <c r="Y14" s="1"/>
      <c r="Z14" s="1"/>
    </row>
    <row r="15" ht="15.75" hidden="1" customHeight="1" outlineLevel="1">
      <c r="A15" s="26" t="s">
        <v>34</v>
      </c>
      <c r="B15" s="12">
        <v>2135.0</v>
      </c>
      <c r="C15" s="12">
        <v>2959.0</v>
      </c>
      <c r="D15" s="27">
        <v>3788.0</v>
      </c>
      <c r="E15" s="1"/>
      <c r="F15" s="1"/>
      <c r="G15" s="1"/>
      <c r="H15" s="1"/>
      <c r="I15" s="1"/>
      <c r="J15" s="1"/>
      <c r="K15" s="1"/>
      <c r="L15" s="1"/>
      <c r="M15" s="1"/>
      <c r="N15" s="1"/>
      <c r="O15" s="1"/>
      <c r="P15" s="1"/>
      <c r="Q15" s="1"/>
      <c r="R15" s="1"/>
      <c r="S15" s="1"/>
      <c r="T15" s="1"/>
      <c r="U15" s="1"/>
      <c r="V15" s="1"/>
      <c r="W15" s="1"/>
      <c r="X15" s="1"/>
      <c r="Y15" s="1"/>
      <c r="Z15" s="1"/>
    </row>
    <row r="16" ht="15.75" hidden="1" customHeight="1" outlineLevel="1">
      <c r="A16" s="26" t="s">
        <v>35</v>
      </c>
      <c r="B16" s="12">
        <v>137.0</v>
      </c>
      <c r="C16" s="12">
        <v>149.0</v>
      </c>
      <c r="D16" s="27">
        <v>176.0</v>
      </c>
      <c r="E16" s="1"/>
      <c r="F16" s="1"/>
      <c r="G16" s="1"/>
      <c r="H16" s="1"/>
      <c r="I16" s="1"/>
      <c r="J16" s="1"/>
      <c r="K16" s="1"/>
      <c r="L16" s="1"/>
      <c r="M16" s="1"/>
      <c r="N16" s="1"/>
      <c r="O16" s="1"/>
      <c r="P16" s="1"/>
      <c r="Q16" s="1"/>
      <c r="R16" s="1"/>
      <c r="S16" s="1"/>
      <c r="T16" s="1"/>
      <c r="U16" s="1"/>
      <c r="V16" s="1"/>
      <c r="W16" s="1"/>
      <c r="X16" s="1"/>
      <c r="Y16" s="1"/>
      <c r="Z16" s="1"/>
    </row>
    <row r="17" ht="15.75" hidden="1" customHeight="1" outlineLevel="1">
      <c r="A17" s="26" t="s">
        <v>36</v>
      </c>
      <c r="B17" s="12">
        <v>193.0</v>
      </c>
      <c r="C17" s="12">
        <v>102.0</v>
      </c>
      <c r="D17" s="27">
        <v>81.0</v>
      </c>
      <c r="E17" s="1"/>
      <c r="F17" s="1"/>
      <c r="G17" s="1"/>
      <c r="H17" s="1"/>
      <c r="I17" s="1"/>
      <c r="J17" s="1"/>
      <c r="K17" s="1"/>
      <c r="L17" s="1"/>
      <c r="M17" s="1"/>
      <c r="N17" s="1"/>
      <c r="O17" s="1"/>
      <c r="P17" s="1"/>
      <c r="Q17" s="1"/>
      <c r="R17" s="1"/>
      <c r="S17" s="1"/>
      <c r="T17" s="1"/>
      <c r="U17" s="1"/>
      <c r="V17" s="1"/>
      <c r="W17" s="1"/>
      <c r="X17" s="1"/>
      <c r="Y17" s="1"/>
      <c r="Z17" s="1"/>
    </row>
    <row r="18" ht="15.75" hidden="1" customHeight="1" outlineLevel="1">
      <c r="A18" s="26" t="s">
        <v>37</v>
      </c>
      <c r="B18" s="12">
        <v>1.0</v>
      </c>
      <c r="C18" s="12">
        <v>2.0</v>
      </c>
      <c r="D18" s="27">
        <v>3.0</v>
      </c>
      <c r="E18" s="1"/>
      <c r="F18" s="1"/>
      <c r="G18" s="1"/>
      <c r="H18" s="1"/>
      <c r="I18" s="1"/>
      <c r="J18" s="1"/>
      <c r="K18" s="1"/>
      <c r="L18" s="1"/>
      <c r="M18" s="1"/>
      <c r="N18" s="1"/>
      <c r="O18" s="1"/>
      <c r="P18" s="1"/>
      <c r="Q18" s="1"/>
      <c r="R18" s="1"/>
      <c r="S18" s="1"/>
      <c r="T18" s="1"/>
      <c r="U18" s="1"/>
      <c r="V18" s="1"/>
      <c r="W18" s="1"/>
      <c r="X18" s="1"/>
      <c r="Y18" s="1"/>
      <c r="Z18" s="1"/>
    </row>
    <row r="19" ht="15.75" hidden="1" customHeight="1" outlineLevel="1">
      <c r="A19" s="26" t="s">
        <v>38</v>
      </c>
      <c r="B19" s="12">
        <v>1.0</v>
      </c>
      <c r="C19" s="12">
        <v>5.0</v>
      </c>
      <c r="D19" s="27">
        <v>0.0</v>
      </c>
      <c r="E19" s="1"/>
      <c r="F19" s="1"/>
      <c r="G19" s="1"/>
      <c r="H19" s="1"/>
      <c r="I19" s="1"/>
      <c r="J19" s="1"/>
      <c r="K19" s="1"/>
      <c r="L19" s="1"/>
      <c r="M19" s="1"/>
      <c r="N19" s="1"/>
      <c r="O19" s="1"/>
      <c r="P19" s="1"/>
      <c r="Q19" s="1"/>
      <c r="R19" s="1"/>
      <c r="S19" s="1"/>
      <c r="T19" s="1"/>
      <c r="U19" s="1"/>
      <c r="V19" s="1"/>
      <c r="W19" s="1"/>
      <c r="X19" s="1"/>
      <c r="Y19" s="1"/>
      <c r="Z19" s="1"/>
    </row>
    <row r="20" ht="15.75" hidden="1" customHeight="1" outlineLevel="1">
      <c r="A20" s="26" t="s">
        <v>39</v>
      </c>
      <c r="B20" s="12">
        <v>0.0</v>
      </c>
      <c r="C20" s="12">
        <v>0.0</v>
      </c>
      <c r="D20" s="27">
        <v>0.0</v>
      </c>
      <c r="E20" s="1"/>
      <c r="F20" s="1"/>
      <c r="G20" s="1"/>
      <c r="H20" s="1"/>
      <c r="I20" s="1"/>
      <c r="J20" s="1"/>
      <c r="K20" s="1"/>
      <c r="L20" s="1"/>
      <c r="M20" s="1"/>
      <c r="N20" s="1"/>
      <c r="O20" s="1"/>
      <c r="P20" s="1"/>
      <c r="Q20" s="1"/>
      <c r="R20" s="1"/>
      <c r="S20" s="1"/>
      <c r="T20" s="1"/>
      <c r="U20" s="1"/>
      <c r="V20" s="1"/>
      <c r="W20" s="1"/>
      <c r="X20" s="1"/>
      <c r="Y20" s="1"/>
      <c r="Z20" s="1"/>
    </row>
    <row r="21" ht="15.75" customHeight="1" collapsed="1">
      <c r="A21" s="23" t="s">
        <v>40</v>
      </c>
      <c r="B21" s="24">
        <f t="shared" ref="B21:D21" si="4">SUM(B15:B20)</f>
        <v>2467</v>
      </c>
      <c r="C21" s="24">
        <f t="shared" si="4"/>
        <v>3217</v>
      </c>
      <c r="D21" s="25">
        <f t="shared" si="4"/>
        <v>4048</v>
      </c>
      <c r="E21" s="1"/>
      <c r="F21" s="1"/>
      <c r="G21" s="1"/>
      <c r="H21" s="1"/>
      <c r="I21" s="1"/>
      <c r="J21" s="1"/>
      <c r="K21" s="1"/>
      <c r="L21" s="1"/>
      <c r="M21" s="1"/>
      <c r="N21" s="1"/>
      <c r="O21" s="1"/>
      <c r="P21" s="1"/>
      <c r="Q21" s="1"/>
      <c r="R21" s="1"/>
      <c r="S21" s="1"/>
      <c r="T21" s="1"/>
      <c r="U21" s="1"/>
      <c r="V21" s="1"/>
      <c r="W21" s="1"/>
      <c r="X21" s="1"/>
      <c r="Y21" s="1"/>
      <c r="Z21" s="1"/>
    </row>
    <row r="22" ht="15.75" customHeight="1">
      <c r="A22" s="26" t="s">
        <v>41</v>
      </c>
      <c r="B22" s="12"/>
      <c r="C22" s="12">
        <f t="shared" ref="C22:D22" si="5">(C21/B21-1)*100</f>
        <v>30.40129712</v>
      </c>
      <c r="D22" s="27">
        <f t="shared" si="5"/>
        <v>25.83152005</v>
      </c>
      <c r="E22" s="1"/>
      <c r="F22" s="1"/>
      <c r="G22" s="1"/>
      <c r="H22" s="1"/>
      <c r="I22" s="1"/>
      <c r="J22" s="1"/>
      <c r="K22" s="1"/>
      <c r="L22" s="1"/>
      <c r="M22" s="1"/>
      <c r="N22" s="1"/>
      <c r="O22" s="1"/>
      <c r="P22" s="1"/>
      <c r="Q22" s="1"/>
      <c r="R22" s="1"/>
      <c r="S22" s="1"/>
      <c r="T22" s="1"/>
      <c r="U22" s="1"/>
      <c r="V22" s="1"/>
      <c r="W22" s="1"/>
      <c r="X22" s="1"/>
      <c r="Y22" s="1"/>
      <c r="Z22" s="1"/>
    </row>
    <row r="23" ht="15.75" customHeight="1">
      <c r="A23" s="26"/>
      <c r="B23" s="12"/>
      <c r="C23" s="12"/>
      <c r="D23" s="27"/>
      <c r="E23" s="1"/>
      <c r="F23" s="1"/>
      <c r="G23" s="1"/>
      <c r="H23" s="1"/>
      <c r="I23" s="1"/>
      <c r="J23" s="1"/>
      <c r="K23" s="1"/>
      <c r="L23" s="1"/>
      <c r="M23" s="1"/>
      <c r="N23" s="1"/>
      <c r="O23" s="1"/>
      <c r="P23" s="1"/>
      <c r="Q23" s="1"/>
      <c r="R23" s="1"/>
      <c r="S23" s="1"/>
      <c r="T23" s="1"/>
      <c r="U23" s="1"/>
      <c r="V23" s="1"/>
      <c r="W23" s="1"/>
      <c r="X23" s="1"/>
      <c r="Y23" s="1"/>
      <c r="Z23" s="1"/>
    </row>
    <row r="24" ht="15.75" customHeight="1">
      <c r="A24" s="28" t="s">
        <v>42</v>
      </c>
      <c r="B24" s="29">
        <f t="shared" ref="B24:D24" si="6">B12-B21</f>
        <v>3040</v>
      </c>
      <c r="C24" s="29">
        <f t="shared" si="6"/>
        <v>4325</v>
      </c>
      <c r="D24" s="30">
        <f t="shared" si="6"/>
        <v>5829</v>
      </c>
      <c r="E24" s="1"/>
      <c r="F24" s="1"/>
      <c r="G24" s="1"/>
      <c r="H24" s="1"/>
      <c r="I24" s="1"/>
      <c r="J24" s="1"/>
      <c r="K24" s="1"/>
      <c r="L24" s="1"/>
      <c r="M24" s="1"/>
      <c r="N24" s="1"/>
      <c r="O24" s="1"/>
      <c r="P24" s="1"/>
      <c r="Q24" s="1"/>
      <c r="R24" s="1"/>
      <c r="S24" s="1"/>
      <c r="T24" s="1"/>
      <c r="U24" s="1"/>
      <c r="V24" s="1"/>
      <c r="W24" s="1"/>
      <c r="X24" s="1"/>
      <c r="Y24" s="1"/>
      <c r="Z24" s="1"/>
    </row>
    <row r="25" ht="15.75" customHeight="1">
      <c r="A25" s="31" t="s">
        <v>43</v>
      </c>
      <c r="B25" s="32">
        <f t="shared" ref="B25:D25" si="7">(B24/B12)*100</f>
        <v>55.20246958</v>
      </c>
      <c r="C25" s="32">
        <f t="shared" si="7"/>
        <v>57.34553169</v>
      </c>
      <c r="D25" s="33">
        <f t="shared" si="7"/>
        <v>59.01589551</v>
      </c>
      <c r="E25" s="1"/>
      <c r="F25" s="1"/>
      <c r="G25" s="1"/>
      <c r="H25" s="1"/>
      <c r="I25" s="1"/>
      <c r="J25" s="1"/>
      <c r="K25" s="1"/>
      <c r="L25" s="1"/>
      <c r="M25" s="1"/>
      <c r="N25" s="1"/>
      <c r="O25" s="1"/>
      <c r="P25" s="1"/>
      <c r="Q25" s="1"/>
      <c r="R25" s="1"/>
      <c r="S25" s="1"/>
      <c r="T25" s="1"/>
      <c r="U25" s="1"/>
      <c r="V25" s="1"/>
      <c r="W25" s="1"/>
      <c r="X25" s="1"/>
      <c r="Y25" s="1"/>
      <c r="Z25" s="1"/>
    </row>
    <row r="26" ht="15.75" customHeight="1">
      <c r="A26" s="26" t="s">
        <v>44</v>
      </c>
      <c r="B26" s="12"/>
      <c r="C26" s="12">
        <f t="shared" ref="C26:D26" si="8">(C24/B24-1)*100</f>
        <v>42.26973684</v>
      </c>
      <c r="D26" s="27">
        <f t="shared" si="8"/>
        <v>34.77456647</v>
      </c>
      <c r="E26" s="1"/>
      <c r="F26" s="1"/>
      <c r="G26" s="1"/>
      <c r="H26" s="1"/>
      <c r="I26" s="1"/>
      <c r="J26" s="1"/>
      <c r="K26" s="1"/>
      <c r="L26" s="1"/>
      <c r="M26" s="1"/>
      <c r="N26" s="1"/>
      <c r="O26" s="1"/>
      <c r="P26" s="1"/>
      <c r="Q26" s="1"/>
      <c r="R26" s="1"/>
      <c r="S26" s="1"/>
      <c r="T26" s="1"/>
      <c r="U26" s="1"/>
      <c r="V26" s="1"/>
      <c r="W26" s="1"/>
      <c r="X26" s="1"/>
      <c r="Y26" s="1"/>
      <c r="Z26" s="1"/>
    </row>
    <row r="27" ht="15.75" customHeight="1">
      <c r="A27" s="26"/>
      <c r="B27" s="12"/>
      <c r="C27" s="12"/>
      <c r="D27" s="27"/>
      <c r="E27" s="1"/>
      <c r="F27" s="1"/>
      <c r="G27" s="1"/>
      <c r="H27" s="1"/>
      <c r="I27" s="1"/>
      <c r="J27" s="1"/>
      <c r="K27" s="1"/>
      <c r="L27" s="1"/>
      <c r="M27" s="1"/>
      <c r="N27" s="1"/>
      <c r="O27" s="1"/>
      <c r="P27" s="1"/>
      <c r="Q27" s="1"/>
      <c r="R27" s="1"/>
      <c r="S27" s="1"/>
      <c r="T27" s="1"/>
      <c r="U27" s="1"/>
      <c r="V27" s="1"/>
      <c r="W27" s="1"/>
      <c r="X27" s="1"/>
      <c r="Y27" s="1"/>
      <c r="Z27" s="1"/>
    </row>
    <row r="28" ht="15.75" hidden="1" customHeight="1" outlineLevel="1">
      <c r="A28" s="26" t="s">
        <v>45</v>
      </c>
      <c r="B28" s="34">
        <v>1094.0</v>
      </c>
      <c r="C28" s="12">
        <v>1233.0</v>
      </c>
      <c r="D28" s="27">
        <v>1427.0</v>
      </c>
      <c r="E28" s="1"/>
      <c r="F28" s="1"/>
      <c r="G28" s="1"/>
      <c r="H28" s="1"/>
      <c r="I28" s="1"/>
      <c r="J28" s="1"/>
      <c r="K28" s="1"/>
      <c r="L28" s="1"/>
      <c r="M28" s="1"/>
      <c r="N28" s="1"/>
      <c r="O28" s="1"/>
      <c r="P28" s="1"/>
      <c r="Q28" s="1"/>
      <c r="R28" s="1"/>
      <c r="S28" s="1"/>
      <c r="T28" s="1"/>
      <c r="U28" s="1"/>
      <c r="V28" s="1"/>
      <c r="W28" s="1"/>
      <c r="X28" s="1"/>
      <c r="Y28" s="1"/>
      <c r="Z28" s="1"/>
    </row>
    <row r="29" ht="15.75" hidden="1" customHeight="1" outlineLevel="1">
      <c r="A29" s="26" t="s">
        <v>46</v>
      </c>
      <c r="B29" s="12">
        <v>0.0</v>
      </c>
      <c r="C29" s="12">
        <v>0.0</v>
      </c>
      <c r="D29" s="27">
        <v>24.0</v>
      </c>
      <c r="E29" s="1"/>
      <c r="F29" s="1"/>
      <c r="G29" s="1"/>
      <c r="H29" s="1"/>
      <c r="I29" s="1"/>
      <c r="J29" s="1"/>
      <c r="K29" s="1"/>
      <c r="L29" s="1"/>
      <c r="M29" s="1"/>
      <c r="N29" s="1"/>
      <c r="O29" s="1"/>
      <c r="P29" s="1"/>
      <c r="Q29" s="1"/>
      <c r="R29" s="1"/>
      <c r="S29" s="1"/>
      <c r="T29" s="1"/>
      <c r="U29" s="1"/>
      <c r="V29" s="1"/>
      <c r="W29" s="1"/>
      <c r="X29" s="1"/>
      <c r="Y29" s="1"/>
      <c r="Z29" s="1"/>
    </row>
    <row r="30" ht="15.75" customHeight="1" collapsed="1">
      <c r="A30" s="23" t="s">
        <v>47</v>
      </c>
      <c r="B30" s="24">
        <f t="shared" ref="B30:D30" si="9">SUM(B28:B29)</f>
        <v>1094</v>
      </c>
      <c r="C30" s="24">
        <f t="shared" si="9"/>
        <v>1233</v>
      </c>
      <c r="D30" s="25">
        <f t="shared" si="9"/>
        <v>1451</v>
      </c>
      <c r="E30" s="1"/>
      <c r="F30" s="1"/>
      <c r="G30" s="1"/>
      <c r="H30" s="1"/>
      <c r="I30" s="1"/>
      <c r="J30" s="1"/>
      <c r="K30" s="1"/>
      <c r="L30" s="1"/>
      <c r="M30" s="1"/>
      <c r="N30" s="1"/>
      <c r="O30" s="1"/>
      <c r="P30" s="1"/>
      <c r="Q30" s="1"/>
      <c r="R30" s="1"/>
      <c r="S30" s="1"/>
      <c r="T30" s="1"/>
      <c r="U30" s="1"/>
      <c r="V30" s="1"/>
      <c r="W30" s="1"/>
      <c r="X30" s="1"/>
      <c r="Y30" s="1"/>
      <c r="Z30" s="1"/>
    </row>
    <row r="31" ht="15.75" customHeight="1">
      <c r="A31" s="26" t="s">
        <v>41</v>
      </c>
      <c r="B31" s="12"/>
      <c r="C31" s="12">
        <f t="shared" ref="C31:D31" si="10">(C30/B30-1)*100</f>
        <v>12.70566728</v>
      </c>
      <c r="D31" s="27">
        <f t="shared" si="10"/>
        <v>17.68045418</v>
      </c>
      <c r="E31" s="1"/>
      <c r="F31" s="1"/>
      <c r="G31" s="1"/>
      <c r="H31" s="1"/>
      <c r="I31" s="1"/>
      <c r="J31" s="1"/>
      <c r="K31" s="1"/>
      <c r="L31" s="1"/>
      <c r="M31" s="1"/>
      <c r="N31" s="1"/>
      <c r="O31" s="1"/>
      <c r="P31" s="1"/>
      <c r="Q31" s="1"/>
      <c r="R31" s="1"/>
      <c r="S31" s="1"/>
      <c r="T31" s="1"/>
      <c r="U31" s="1"/>
      <c r="V31" s="1"/>
      <c r="W31" s="1"/>
      <c r="X31" s="1"/>
      <c r="Y31" s="1"/>
      <c r="Z31" s="1"/>
    </row>
    <row r="32" ht="15.75" customHeight="1">
      <c r="A32" s="26"/>
      <c r="B32" s="12"/>
      <c r="C32" s="12"/>
      <c r="D32" s="27"/>
      <c r="E32" s="1"/>
      <c r="F32" s="1"/>
      <c r="G32" s="1"/>
      <c r="H32" s="1"/>
      <c r="I32" s="1"/>
      <c r="J32" s="1"/>
      <c r="K32" s="1"/>
      <c r="L32" s="1"/>
      <c r="M32" s="1"/>
      <c r="N32" s="1"/>
      <c r="O32" s="1"/>
      <c r="P32" s="1"/>
      <c r="Q32" s="1"/>
      <c r="R32" s="1"/>
      <c r="S32" s="1"/>
      <c r="T32" s="1"/>
      <c r="U32" s="1"/>
      <c r="V32" s="1"/>
      <c r="W32" s="1"/>
      <c r="X32" s="1"/>
      <c r="Y32" s="1"/>
      <c r="Z32" s="1"/>
    </row>
    <row r="33" ht="15.75" hidden="1" customHeight="1" outlineLevel="1">
      <c r="A33" s="26" t="s">
        <v>48</v>
      </c>
      <c r="B33" s="12">
        <v>108.0</v>
      </c>
      <c r="C33" s="12">
        <v>97.0</v>
      </c>
      <c r="D33" s="27">
        <v>123.0</v>
      </c>
      <c r="E33" s="1"/>
      <c r="F33" s="1"/>
      <c r="G33" s="1"/>
      <c r="H33" s="1"/>
      <c r="I33" s="1"/>
      <c r="J33" s="1"/>
      <c r="K33" s="1"/>
      <c r="L33" s="1"/>
      <c r="M33" s="1"/>
      <c r="N33" s="1"/>
      <c r="O33" s="1"/>
      <c r="P33" s="1"/>
      <c r="Q33" s="1"/>
      <c r="R33" s="1"/>
      <c r="S33" s="1"/>
      <c r="T33" s="1"/>
      <c r="U33" s="1"/>
      <c r="V33" s="1"/>
      <c r="W33" s="1"/>
      <c r="X33" s="1"/>
      <c r="Y33" s="1"/>
      <c r="Z33" s="1"/>
    </row>
    <row r="34" ht="15.75" hidden="1" customHeight="1" outlineLevel="1">
      <c r="A34" s="26" t="s">
        <v>49</v>
      </c>
      <c r="B34" s="12">
        <v>11.0</v>
      </c>
      <c r="C34" s="35">
        <v>11.0</v>
      </c>
      <c r="D34" s="36">
        <v>30.0</v>
      </c>
      <c r="E34" s="1"/>
      <c r="F34" s="1"/>
      <c r="G34" s="1"/>
      <c r="H34" s="1"/>
      <c r="I34" s="1"/>
      <c r="J34" s="1"/>
      <c r="K34" s="1"/>
      <c r="L34" s="1"/>
      <c r="M34" s="1"/>
      <c r="N34" s="1"/>
      <c r="O34" s="1"/>
      <c r="P34" s="1"/>
      <c r="Q34" s="1"/>
      <c r="R34" s="1"/>
      <c r="S34" s="1"/>
      <c r="T34" s="1"/>
      <c r="U34" s="1"/>
      <c r="V34" s="1"/>
      <c r="W34" s="1"/>
      <c r="X34" s="1"/>
      <c r="Y34" s="1"/>
      <c r="Z34" s="1"/>
    </row>
    <row r="35" ht="15.75" hidden="1" customHeight="1" outlineLevel="1">
      <c r="A35" s="26" t="s">
        <v>50</v>
      </c>
      <c r="B35" s="12">
        <v>12.0</v>
      </c>
      <c r="C35" s="35">
        <v>17.0</v>
      </c>
      <c r="D35" s="36">
        <v>19.0</v>
      </c>
      <c r="E35" s="1"/>
      <c r="F35" s="1"/>
      <c r="G35" s="1"/>
      <c r="H35" s="1"/>
      <c r="I35" s="1"/>
      <c r="J35" s="1"/>
      <c r="K35" s="1"/>
      <c r="L35" s="1"/>
      <c r="M35" s="1"/>
      <c r="N35" s="1"/>
      <c r="O35" s="1"/>
      <c r="P35" s="1"/>
      <c r="Q35" s="1"/>
      <c r="R35" s="1"/>
      <c r="S35" s="1"/>
      <c r="T35" s="1"/>
      <c r="U35" s="1"/>
      <c r="V35" s="1"/>
      <c r="W35" s="1"/>
      <c r="X35" s="1"/>
      <c r="Y35" s="1"/>
      <c r="Z35" s="1"/>
    </row>
    <row r="36" ht="15.75" hidden="1" customHeight="1" outlineLevel="1">
      <c r="A36" s="26" t="s">
        <v>51</v>
      </c>
      <c r="B36" s="12">
        <v>11.0</v>
      </c>
      <c r="C36" s="12">
        <v>20.0</v>
      </c>
      <c r="D36" s="27">
        <v>21.0</v>
      </c>
      <c r="E36" s="1"/>
      <c r="F36" s="1"/>
      <c r="G36" s="1"/>
      <c r="H36" s="1"/>
      <c r="I36" s="1"/>
      <c r="J36" s="1"/>
      <c r="K36" s="1"/>
      <c r="L36" s="1"/>
      <c r="M36" s="1"/>
      <c r="N36" s="1"/>
      <c r="O36" s="1"/>
      <c r="P36" s="1"/>
      <c r="Q36" s="1"/>
      <c r="R36" s="1"/>
      <c r="S36" s="1"/>
      <c r="T36" s="1"/>
      <c r="U36" s="1"/>
      <c r="V36" s="1"/>
      <c r="W36" s="1"/>
      <c r="X36" s="1"/>
      <c r="Y36" s="1"/>
      <c r="Z36" s="1"/>
    </row>
    <row r="37" ht="15.75" hidden="1" customHeight="1" outlineLevel="1">
      <c r="A37" s="26" t="s">
        <v>52</v>
      </c>
      <c r="B37" s="12">
        <v>0.0</v>
      </c>
      <c r="C37" s="12">
        <v>1.0</v>
      </c>
      <c r="D37" s="27">
        <v>0.0</v>
      </c>
      <c r="E37" s="1"/>
      <c r="F37" s="1"/>
      <c r="G37" s="1"/>
      <c r="H37" s="1"/>
      <c r="I37" s="1"/>
      <c r="J37" s="1"/>
      <c r="K37" s="1"/>
      <c r="L37" s="1"/>
      <c r="M37" s="1"/>
      <c r="N37" s="1"/>
      <c r="O37" s="1"/>
      <c r="P37" s="1"/>
      <c r="Q37" s="1"/>
      <c r="R37" s="1"/>
      <c r="S37" s="1"/>
      <c r="T37" s="1"/>
      <c r="U37" s="1"/>
      <c r="V37" s="1"/>
      <c r="W37" s="1"/>
      <c r="X37" s="1"/>
      <c r="Y37" s="1"/>
      <c r="Z37" s="1"/>
    </row>
    <row r="38" ht="15.75" hidden="1" customHeight="1" outlineLevel="1">
      <c r="A38" s="26" t="s">
        <v>53</v>
      </c>
      <c r="B38" s="12">
        <v>0.0</v>
      </c>
      <c r="C38" s="12">
        <v>0.0</v>
      </c>
      <c r="D38" s="27">
        <v>0.0</v>
      </c>
      <c r="E38" s="1"/>
      <c r="F38" s="1"/>
      <c r="G38" s="1"/>
      <c r="H38" s="1"/>
      <c r="I38" s="1"/>
      <c r="J38" s="1"/>
      <c r="K38" s="1"/>
      <c r="L38" s="1"/>
      <c r="M38" s="1"/>
      <c r="N38" s="1"/>
      <c r="O38" s="1"/>
      <c r="P38" s="1"/>
      <c r="Q38" s="1"/>
      <c r="R38" s="1"/>
      <c r="S38" s="1"/>
      <c r="T38" s="1"/>
      <c r="U38" s="1"/>
      <c r="V38" s="1"/>
      <c r="W38" s="1"/>
      <c r="X38" s="1"/>
      <c r="Y38" s="1"/>
      <c r="Z38" s="1"/>
    </row>
    <row r="39" ht="15.75" hidden="1" customHeight="1" outlineLevel="1">
      <c r="A39" s="26" t="s">
        <v>54</v>
      </c>
      <c r="B39" s="12">
        <v>0.0</v>
      </c>
      <c r="C39" s="12">
        <v>0.0</v>
      </c>
      <c r="D39" s="27">
        <v>0.0</v>
      </c>
      <c r="E39" s="1"/>
      <c r="F39" s="1"/>
      <c r="G39" s="1"/>
      <c r="H39" s="1"/>
      <c r="I39" s="1"/>
      <c r="J39" s="1"/>
      <c r="K39" s="1"/>
      <c r="L39" s="1"/>
      <c r="M39" s="1"/>
      <c r="N39" s="1"/>
      <c r="O39" s="1"/>
      <c r="P39" s="1"/>
      <c r="Q39" s="1"/>
      <c r="R39" s="1"/>
      <c r="S39" s="1"/>
      <c r="T39" s="1"/>
      <c r="U39" s="1"/>
      <c r="V39" s="1"/>
      <c r="W39" s="1"/>
      <c r="X39" s="1"/>
      <c r="Y39" s="1"/>
      <c r="Z39" s="1"/>
    </row>
    <row r="40" ht="15.75" hidden="1" customHeight="1" outlineLevel="1">
      <c r="A40" s="26" t="s">
        <v>55</v>
      </c>
      <c r="B40" s="12">
        <v>13.0</v>
      </c>
      <c r="C40" s="12">
        <v>50.0</v>
      </c>
      <c r="D40" s="27">
        <v>39.0</v>
      </c>
      <c r="E40" s="1"/>
      <c r="F40" s="1"/>
      <c r="G40" s="1"/>
      <c r="H40" s="1"/>
      <c r="I40" s="1"/>
      <c r="J40" s="1"/>
      <c r="K40" s="1"/>
      <c r="L40" s="1"/>
      <c r="M40" s="1"/>
      <c r="N40" s="1"/>
      <c r="O40" s="1"/>
      <c r="P40" s="1"/>
      <c r="Q40" s="1"/>
      <c r="R40" s="1"/>
      <c r="S40" s="1"/>
      <c r="T40" s="1"/>
      <c r="U40" s="1"/>
      <c r="V40" s="1"/>
      <c r="W40" s="1"/>
      <c r="X40" s="1"/>
      <c r="Y40" s="1"/>
      <c r="Z40" s="1"/>
    </row>
    <row r="41" ht="15.75" hidden="1" customHeight="1" outlineLevel="1">
      <c r="A41" s="26" t="s">
        <v>56</v>
      </c>
      <c r="B41" s="12">
        <v>26.0</v>
      </c>
      <c r="C41" s="1">
        <v>3.0</v>
      </c>
      <c r="D41" s="27">
        <v>5.0</v>
      </c>
      <c r="E41" s="1"/>
      <c r="F41" s="1"/>
      <c r="G41" s="1"/>
      <c r="H41" s="1"/>
      <c r="I41" s="1"/>
      <c r="J41" s="1"/>
      <c r="K41" s="1"/>
      <c r="L41" s="1"/>
      <c r="M41" s="1"/>
      <c r="N41" s="1"/>
      <c r="O41" s="1"/>
      <c r="P41" s="1"/>
      <c r="Q41" s="1"/>
      <c r="R41" s="1"/>
      <c r="S41" s="1"/>
      <c r="T41" s="1"/>
      <c r="U41" s="1"/>
      <c r="V41" s="1"/>
      <c r="W41" s="1"/>
      <c r="X41" s="1"/>
      <c r="Y41" s="1"/>
      <c r="Z41" s="1"/>
    </row>
    <row r="42" ht="15.75" customHeight="1" collapsed="1">
      <c r="A42" s="23" t="s">
        <v>57</v>
      </c>
      <c r="B42" s="24">
        <f t="shared" ref="B42:D42" si="11">SUM(B33:B41)</f>
        <v>181</v>
      </c>
      <c r="C42" s="24">
        <f t="shared" si="11"/>
        <v>199</v>
      </c>
      <c r="D42" s="25">
        <f t="shared" si="11"/>
        <v>237</v>
      </c>
      <c r="E42" s="1"/>
      <c r="F42" s="1"/>
      <c r="G42" s="1"/>
      <c r="H42" s="1"/>
      <c r="I42" s="1"/>
      <c r="J42" s="1"/>
      <c r="K42" s="1"/>
      <c r="L42" s="1"/>
      <c r="M42" s="1"/>
      <c r="N42" s="1"/>
      <c r="O42" s="1"/>
      <c r="P42" s="1"/>
      <c r="Q42" s="1"/>
      <c r="R42" s="1"/>
      <c r="S42" s="1"/>
      <c r="T42" s="1"/>
      <c r="U42" s="1"/>
      <c r="V42" s="1"/>
      <c r="W42" s="1"/>
      <c r="X42" s="1"/>
      <c r="Y42" s="1"/>
      <c r="Z42" s="1"/>
    </row>
    <row r="43" ht="15.75" customHeight="1">
      <c r="A43" s="26" t="s">
        <v>41</v>
      </c>
      <c r="B43" s="12"/>
      <c r="C43" s="12">
        <f t="shared" ref="C43:D43" si="12">(C42/B42-1)*100</f>
        <v>9.944751381</v>
      </c>
      <c r="D43" s="27">
        <f t="shared" si="12"/>
        <v>19.09547739</v>
      </c>
      <c r="E43" s="1"/>
      <c r="F43" s="1"/>
      <c r="G43" s="1"/>
      <c r="H43" s="1"/>
      <c r="I43" s="1"/>
      <c r="J43" s="1"/>
      <c r="K43" s="1"/>
      <c r="L43" s="1"/>
      <c r="M43" s="1"/>
      <c r="N43" s="1"/>
      <c r="O43" s="1"/>
      <c r="P43" s="1"/>
      <c r="Q43" s="1"/>
      <c r="R43" s="1"/>
      <c r="S43" s="1"/>
      <c r="T43" s="1"/>
      <c r="U43" s="1"/>
      <c r="V43" s="1"/>
      <c r="W43" s="1"/>
      <c r="X43" s="1"/>
      <c r="Y43" s="1"/>
      <c r="Z43" s="1"/>
    </row>
    <row r="44" ht="15.75" customHeight="1">
      <c r="A44" s="26"/>
      <c r="B44" s="12"/>
      <c r="C44" s="12"/>
      <c r="D44" s="27"/>
      <c r="E44" s="1"/>
      <c r="F44" s="1"/>
      <c r="G44" s="1"/>
      <c r="H44" s="1"/>
      <c r="I44" s="1"/>
      <c r="J44" s="1"/>
      <c r="K44" s="1"/>
      <c r="L44" s="1"/>
      <c r="M44" s="1"/>
      <c r="N44" s="1"/>
      <c r="O44" s="1"/>
      <c r="P44" s="1"/>
      <c r="Q44" s="1"/>
      <c r="R44" s="1"/>
      <c r="S44" s="1"/>
      <c r="T44" s="1"/>
      <c r="U44" s="1"/>
      <c r="V44" s="1"/>
      <c r="W44" s="1"/>
      <c r="X44" s="1"/>
      <c r="Y44" s="1"/>
      <c r="Z44" s="1"/>
    </row>
    <row r="45" ht="15.75" hidden="1" customHeight="1" outlineLevel="1">
      <c r="A45" s="26" t="s">
        <v>58</v>
      </c>
      <c r="B45" s="12">
        <v>629.0</v>
      </c>
      <c r="C45" s="12">
        <v>595.0</v>
      </c>
      <c r="D45" s="27">
        <v>817.0</v>
      </c>
      <c r="E45" s="1"/>
      <c r="F45" s="1"/>
      <c r="G45" s="1"/>
      <c r="H45" s="1"/>
      <c r="I45" s="1"/>
      <c r="J45" s="1"/>
      <c r="K45" s="1"/>
      <c r="L45" s="1"/>
      <c r="M45" s="1"/>
      <c r="N45" s="1"/>
      <c r="O45" s="1"/>
      <c r="P45" s="1"/>
      <c r="Q45" s="1"/>
      <c r="R45" s="1"/>
      <c r="S45" s="1"/>
      <c r="T45" s="1"/>
      <c r="U45" s="1"/>
      <c r="V45" s="1"/>
      <c r="W45" s="1"/>
      <c r="X45" s="1"/>
      <c r="Y45" s="1"/>
      <c r="Z45" s="1"/>
    </row>
    <row r="46" ht="15.75" hidden="1" customHeight="1" outlineLevel="1">
      <c r="A46" s="26" t="s">
        <v>59</v>
      </c>
      <c r="B46" s="12">
        <v>9.0</v>
      </c>
      <c r="C46" s="12">
        <v>13.0</v>
      </c>
      <c r="D46" s="27">
        <v>20.0</v>
      </c>
      <c r="E46" s="1"/>
      <c r="F46" s="1"/>
      <c r="G46" s="1"/>
      <c r="H46" s="1"/>
      <c r="I46" s="1"/>
      <c r="J46" s="1"/>
      <c r="K46" s="1"/>
      <c r="L46" s="1"/>
      <c r="M46" s="1"/>
      <c r="N46" s="1"/>
      <c r="O46" s="1"/>
      <c r="P46" s="1"/>
      <c r="Q46" s="1"/>
      <c r="R46" s="1"/>
      <c r="S46" s="1"/>
      <c r="T46" s="1"/>
      <c r="U46" s="1"/>
      <c r="V46" s="1"/>
      <c r="W46" s="1"/>
      <c r="X46" s="1"/>
      <c r="Y46" s="1"/>
      <c r="Z46" s="1"/>
    </row>
    <row r="47" ht="15.75" hidden="1" customHeight="1" outlineLevel="1">
      <c r="A47" s="26" t="s">
        <v>60</v>
      </c>
      <c r="B47" s="12">
        <v>13.0</v>
      </c>
      <c r="C47" s="12">
        <v>21.0</v>
      </c>
      <c r="D47" s="27">
        <v>39.0</v>
      </c>
      <c r="E47" s="1"/>
      <c r="F47" s="1"/>
      <c r="G47" s="1"/>
      <c r="H47" s="1"/>
      <c r="I47" s="1"/>
      <c r="J47" s="1"/>
      <c r="K47" s="1"/>
      <c r="L47" s="1"/>
      <c r="M47" s="1"/>
      <c r="N47" s="1"/>
      <c r="O47" s="1"/>
      <c r="P47" s="1"/>
      <c r="Q47" s="1"/>
      <c r="R47" s="1"/>
      <c r="S47" s="1"/>
      <c r="T47" s="1"/>
      <c r="U47" s="1"/>
      <c r="V47" s="1"/>
      <c r="W47" s="1"/>
      <c r="X47" s="1"/>
      <c r="Y47" s="1"/>
      <c r="Z47" s="1"/>
    </row>
    <row r="48" ht="15.75" hidden="1" customHeight="1" outlineLevel="1">
      <c r="A48" s="26" t="s">
        <v>61</v>
      </c>
      <c r="B48" s="12">
        <v>11.0</v>
      </c>
      <c r="C48" s="12">
        <v>14.0</v>
      </c>
      <c r="D48" s="27">
        <v>10.0</v>
      </c>
      <c r="E48" s="1"/>
      <c r="F48" s="1"/>
      <c r="G48" s="1"/>
      <c r="H48" s="1"/>
      <c r="I48" s="1"/>
      <c r="J48" s="1"/>
      <c r="K48" s="1"/>
      <c r="L48" s="1"/>
      <c r="M48" s="1"/>
      <c r="N48" s="1"/>
      <c r="O48" s="1"/>
      <c r="P48" s="1"/>
      <c r="Q48" s="1"/>
      <c r="R48" s="1"/>
      <c r="S48" s="1"/>
      <c r="T48" s="1"/>
      <c r="U48" s="1"/>
      <c r="V48" s="1"/>
      <c r="W48" s="1"/>
      <c r="X48" s="1"/>
      <c r="Y48" s="1"/>
      <c r="Z48" s="1"/>
    </row>
    <row r="49" ht="15.75" hidden="1" customHeight="1" outlineLevel="1">
      <c r="A49" s="26" t="s">
        <v>62</v>
      </c>
      <c r="B49" s="12">
        <v>455.0</v>
      </c>
      <c r="C49" s="12">
        <v>322.0</v>
      </c>
      <c r="D49" s="27">
        <v>380.0</v>
      </c>
      <c r="E49" s="1"/>
      <c r="F49" s="1"/>
      <c r="G49" s="1"/>
      <c r="H49" s="1"/>
      <c r="I49" s="1"/>
      <c r="J49" s="1"/>
      <c r="K49" s="1"/>
      <c r="L49" s="1"/>
      <c r="M49" s="1"/>
      <c r="N49" s="1"/>
      <c r="O49" s="1"/>
      <c r="P49" s="1"/>
      <c r="Q49" s="1"/>
      <c r="R49" s="1"/>
      <c r="S49" s="1"/>
      <c r="T49" s="1"/>
      <c r="U49" s="1"/>
      <c r="V49" s="1"/>
      <c r="W49" s="1"/>
      <c r="X49" s="1"/>
      <c r="Y49" s="1"/>
      <c r="Z49" s="1"/>
    </row>
    <row r="50" ht="15.75" hidden="1" customHeight="1" outlineLevel="1">
      <c r="A50" s="26" t="s">
        <v>63</v>
      </c>
      <c r="B50" s="12">
        <v>8.0</v>
      </c>
      <c r="C50" s="12">
        <v>5.0</v>
      </c>
      <c r="D50" s="27">
        <v>11.0</v>
      </c>
      <c r="E50" s="1"/>
      <c r="F50" s="1"/>
      <c r="G50" s="1"/>
      <c r="H50" s="1"/>
      <c r="I50" s="1"/>
      <c r="J50" s="1"/>
      <c r="K50" s="1"/>
      <c r="L50" s="1"/>
      <c r="M50" s="1"/>
      <c r="N50" s="1"/>
      <c r="O50" s="1"/>
      <c r="P50" s="1"/>
      <c r="Q50" s="1"/>
      <c r="R50" s="1"/>
      <c r="S50" s="1"/>
      <c r="T50" s="1"/>
      <c r="U50" s="1"/>
      <c r="V50" s="1"/>
      <c r="W50" s="1"/>
      <c r="X50" s="1"/>
      <c r="Y50" s="1"/>
      <c r="Z50" s="1"/>
    </row>
    <row r="51" ht="15.75" hidden="1" customHeight="1" outlineLevel="1">
      <c r="A51" s="26" t="s">
        <v>64</v>
      </c>
      <c r="B51" s="12">
        <v>40.0</v>
      </c>
      <c r="C51" s="12">
        <v>53.0</v>
      </c>
      <c r="D51" s="27">
        <v>66.0</v>
      </c>
      <c r="E51" s="1"/>
      <c r="F51" s="1"/>
      <c r="G51" s="1"/>
      <c r="H51" s="1"/>
      <c r="I51" s="1"/>
      <c r="J51" s="1"/>
      <c r="K51" s="1"/>
      <c r="L51" s="1"/>
      <c r="M51" s="1"/>
      <c r="N51" s="1"/>
      <c r="O51" s="1"/>
      <c r="P51" s="1"/>
      <c r="Q51" s="1"/>
      <c r="R51" s="1"/>
      <c r="S51" s="1"/>
      <c r="T51" s="1"/>
      <c r="U51" s="1"/>
      <c r="V51" s="1"/>
      <c r="W51" s="1"/>
      <c r="X51" s="1"/>
      <c r="Y51" s="1"/>
      <c r="Z51" s="1"/>
    </row>
    <row r="52" ht="15.75" hidden="1" customHeight="1" outlineLevel="1">
      <c r="A52" s="26" t="s">
        <v>65</v>
      </c>
      <c r="B52" s="12">
        <v>223.0</v>
      </c>
      <c r="C52" s="12">
        <v>289.0</v>
      </c>
      <c r="D52" s="27">
        <v>346.0</v>
      </c>
      <c r="E52" s="1"/>
      <c r="F52" s="1"/>
      <c r="G52" s="1"/>
      <c r="H52" s="1"/>
      <c r="I52" s="1"/>
      <c r="J52" s="1"/>
      <c r="K52" s="1"/>
      <c r="L52" s="1"/>
      <c r="M52" s="1"/>
      <c r="N52" s="1"/>
      <c r="O52" s="1"/>
      <c r="P52" s="1"/>
      <c r="Q52" s="1"/>
      <c r="R52" s="1"/>
      <c r="S52" s="1"/>
      <c r="T52" s="1"/>
      <c r="U52" s="1"/>
      <c r="V52" s="1"/>
      <c r="W52" s="1"/>
      <c r="X52" s="1"/>
      <c r="Y52" s="1"/>
      <c r="Z52" s="1"/>
    </row>
    <row r="53" ht="15.75" hidden="1" customHeight="1" outlineLevel="1">
      <c r="A53" s="26" t="s">
        <v>66</v>
      </c>
      <c r="B53" s="12">
        <v>75.0</v>
      </c>
      <c r="C53" s="12">
        <v>50.0</v>
      </c>
      <c r="D53" s="27">
        <v>86.0</v>
      </c>
      <c r="E53" s="1"/>
      <c r="F53" s="1"/>
      <c r="G53" s="1"/>
      <c r="H53" s="1"/>
      <c r="I53" s="1"/>
      <c r="J53" s="1"/>
      <c r="K53" s="1"/>
      <c r="L53" s="1"/>
      <c r="M53" s="1"/>
      <c r="N53" s="1"/>
      <c r="O53" s="1"/>
      <c r="P53" s="1"/>
      <c r="Q53" s="1"/>
      <c r="R53" s="1"/>
      <c r="S53" s="1"/>
      <c r="T53" s="1"/>
      <c r="U53" s="1"/>
      <c r="V53" s="1"/>
      <c r="W53" s="1"/>
      <c r="X53" s="1"/>
      <c r="Y53" s="1"/>
      <c r="Z53" s="1"/>
    </row>
    <row r="54" ht="15.75" hidden="1" customHeight="1" outlineLevel="1">
      <c r="A54" s="26" t="s">
        <v>67</v>
      </c>
      <c r="B54" s="12">
        <v>17.0</v>
      </c>
      <c r="C54" s="12">
        <v>18.0</v>
      </c>
      <c r="D54" s="27">
        <v>38.0</v>
      </c>
      <c r="E54" s="1"/>
      <c r="F54" s="1"/>
      <c r="G54" s="1"/>
      <c r="H54" s="1"/>
      <c r="I54" s="1"/>
      <c r="J54" s="1"/>
      <c r="K54" s="1"/>
      <c r="L54" s="1"/>
      <c r="M54" s="1"/>
      <c r="N54" s="1"/>
      <c r="O54" s="1"/>
      <c r="P54" s="1"/>
      <c r="Q54" s="1"/>
      <c r="R54" s="1"/>
      <c r="S54" s="1"/>
      <c r="T54" s="1"/>
      <c r="U54" s="1"/>
      <c r="V54" s="1"/>
      <c r="W54" s="1"/>
      <c r="X54" s="1"/>
      <c r="Y54" s="1"/>
      <c r="Z54" s="1"/>
    </row>
    <row r="55" ht="15.75" hidden="1" customHeight="1" outlineLevel="1">
      <c r="A55" s="26" t="s">
        <v>68</v>
      </c>
      <c r="B55" s="12">
        <v>4.0</v>
      </c>
      <c r="C55" s="12">
        <v>4.0</v>
      </c>
      <c r="D55" s="27">
        <v>6.0</v>
      </c>
      <c r="E55" s="1"/>
      <c r="F55" s="1"/>
      <c r="G55" s="1"/>
      <c r="H55" s="1"/>
      <c r="I55" s="1"/>
      <c r="J55" s="1"/>
      <c r="K55" s="1"/>
      <c r="L55" s="1"/>
      <c r="M55" s="1"/>
      <c r="N55" s="1"/>
      <c r="O55" s="1"/>
      <c r="P55" s="1"/>
      <c r="Q55" s="1"/>
      <c r="R55" s="1"/>
      <c r="S55" s="1"/>
      <c r="T55" s="1"/>
      <c r="U55" s="1"/>
      <c r="V55" s="1"/>
      <c r="W55" s="1"/>
      <c r="X55" s="1"/>
      <c r="Y55" s="1"/>
      <c r="Z55" s="1"/>
    </row>
    <row r="56" ht="15.75" hidden="1" customHeight="1" outlineLevel="1">
      <c r="A56" s="26" t="s">
        <v>69</v>
      </c>
      <c r="B56" s="12">
        <v>5.0</v>
      </c>
      <c r="C56" s="12">
        <v>5.0</v>
      </c>
      <c r="D56" s="27">
        <v>6.0</v>
      </c>
      <c r="E56" s="1"/>
      <c r="F56" s="1"/>
      <c r="G56" s="1"/>
      <c r="H56" s="1"/>
      <c r="I56" s="1"/>
      <c r="J56" s="1"/>
      <c r="K56" s="1"/>
      <c r="L56" s="1"/>
      <c r="M56" s="1"/>
      <c r="N56" s="1"/>
      <c r="O56" s="1"/>
      <c r="P56" s="1"/>
      <c r="Q56" s="1"/>
      <c r="R56" s="1"/>
      <c r="S56" s="1"/>
      <c r="T56" s="1"/>
      <c r="U56" s="1"/>
      <c r="V56" s="1"/>
      <c r="W56" s="1"/>
      <c r="X56" s="1"/>
      <c r="Y56" s="1"/>
      <c r="Z56" s="1"/>
    </row>
    <row r="57" ht="15.75" hidden="1" customHeight="1" outlineLevel="1">
      <c r="A57" s="26" t="s">
        <v>70</v>
      </c>
      <c r="B57" s="12">
        <v>2.0</v>
      </c>
      <c r="C57" s="12">
        <v>2.0</v>
      </c>
      <c r="D57" s="27">
        <v>2.0</v>
      </c>
      <c r="E57" s="1"/>
      <c r="F57" s="1"/>
      <c r="G57" s="1"/>
      <c r="H57" s="1"/>
      <c r="I57" s="1"/>
      <c r="J57" s="1"/>
      <c r="K57" s="1"/>
      <c r="L57" s="1"/>
      <c r="M57" s="1"/>
      <c r="N57" s="1"/>
      <c r="O57" s="1"/>
      <c r="P57" s="1"/>
      <c r="Q57" s="1"/>
      <c r="R57" s="1"/>
      <c r="S57" s="1"/>
      <c r="T57" s="1"/>
      <c r="U57" s="1"/>
      <c r="V57" s="1"/>
      <c r="W57" s="1"/>
      <c r="X57" s="1"/>
      <c r="Y57" s="1"/>
      <c r="Z57" s="1"/>
    </row>
    <row r="58" ht="15.75" customHeight="1" collapsed="1">
      <c r="A58" s="23" t="s">
        <v>71</v>
      </c>
      <c r="B58" s="24">
        <f t="shared" ref="B58:D58" si="13">SUM(B45:B57)</f>
        <v>1491</v>
      </c>
      <c r="C58" s="24">
        <f t="shared" si="13"/>
        <v>1391</v>
      </c>
      <c r="D58" s="25">
        <f t="shared" si="13"/>
        <v>1827</v>
      </c>
      <c r="E58" s="1"/>
      <c r="F58" s="1"/>
      <c r="G58" s="1"/>
      <c r="H58" s="1"/>
      <c r="I58" s="1"/>
      <c r="J58" s="1"/>
      <c r="K58" s="1"/>
      <c r="L58" s="1"/>
      <c r="M58" s="1"/>
      <c r="N58" s="1"/>
      <c r="O58" s="1"/>
      <c r="P58" s="1"/>
      <c r="Q58" s="1"/>
      <c r="R58" s="1"/>
      <c r="S58" s="1"/>
      <c r="T58" s="1"/>
      <c r="U58" s="1"/>
      <c r="V58" s="1"/>
      <c r="W58" s="1"/>
      <c r="X58" s="1"/>
      <c r="Y58" s="1"/>
      <c r="Z58" s="1"/>
    </row>
    <row r="59" ht="15.75" customHeight="1">
      <c r="A59" s="26" t="s">
        <v>41</v>
      </c>
      <c r="B59" s="12"/>
      <c r="C59" s="12">
        <f t="shared" ref="C59:D59" si="14">(C58/B58-1)*100</f>
        <v>-6.706908115</v>
      </c>
      <c r="D59" s="27">
        <f t="shared" si="14"/>
        <v>31.34435658</v>
      </c>
      <c r="E59" s="1"/>
      <c r="F59" s="1"/>
      <c r="G59" s="1"/>
      <c r="H59" s="1"/>
      <c r="I59" s="1"/>
      <c r="J59" s="1"/>
      <c r="K59" s="1"/>
      <c r="L59" s="1"/>
      <c r="M59" s="1"/>
      <c r="N59" s="1"/>
      <c r="O59" s="1"/>
      <c r="P59" s="1"/>
      <c r="Q59" s="1"/>
      <c r="R59" s="1"/>
      <c r="S59" s="1"/>
      <c r="T59" s="1"/>
      <c r="U59" s="1"/>
      <c r="V59" s="1"/>
      <c r="W59" s="1"/>
      <c r="X59" s="1"/>
      <c r="Y59" s="1"/>
      <c r="Z59" s="1"/>
    </row>
    <row r="60" ht="15.75" customHeight="1">
      <c r="A60" s="26"/>
      <c r="B60" s="12"/>
      <c r="C60" s="12"/>
      <c r="D60" s="27"/>
      <c r="E60" s="1"/>
      <c r="F60" s="1"/>
      <c r="G60" s="1"/>
      <c r="H60" s="1"/>
      <c r="I60" s="1"/>
      <c r="J60" s="1"/>
      <c r="K60" s="1"/>
      <c r="L60" s="1"/>
      <c r="M60" s="1"/>
      <c r="N60" s="1"/>
      <c r="O60" s="1"/>
      <c r="P60" s="1"/>
      <c r="Q60" s="1"/>
      <c r="R60" s="1"/>
      <c r="S60" s="1"/>
      <c r="T60" s="1"/>
      <c r="U60" s="1"/>
      <c r="V60" s="1"/>
      <c r="W60" s="1"/>
      <c r="X60" s="1"/>
      <c r="Y60" s="1"/>
      <c r="Z60" s="1"/>
    </row>
    <row r="61" ht="15.75" customHeight="1">
      <c r="A61" s="23" t="s">
        <v>72</v>
      </c>
      <c r="B61" s="24">
        <f t="shared" ref="B61:D61" si="15">B30+B42+B58</f>
        <v>2766</v>
      </c>
      <c r="C61" s="24">
        <f t="shared" si="15"/>
        <v>2823</v>
      </c>
      <c r="D61" s="25">
        <f t="shared" si="15"/>
        <v>3515</v>
      </c>
      <c r="E61" s="1"/>
      <c r="F61" s="1"/>
      <c r="G61" s="1"/>
      <c r="H61" s="1"/>
      <c r="I61" s="1"/>
      <c r="J61" s="1"/>
      <c r="K61" s="1"/>
      <c r="L61" s="1"/>
      <c r="M61" s="1"/>
      <c r="N61" s="1"/>
      <c r="O61" s="1"/>
      <c r="P61" s="1"/>
      <c r="Q61" s="1"/>
      <c r="R61" s="1"/>
      <c r="S61" s="1"/>
      <c r="T61" s="1"/>
      <c r="U61" s="1"/>
      <c r="V61" s="1"/>
      <c r="W61" s="1"/>
      <c r="X61" s="1"/>
      <c r="Y61" s="1"/>
      <c r="Z61" s="1"/>
    </row>
    <row r="62" ht="15.75" customHeight="1">
      <c r="A62" s="26" t="s">
        <v>41</v>
      </c>
      <c r="B62" s="12"/>
      <c r="C62" s="12">
        <f t="shared" ref="C62:D62" si="16">(C61/B61-1)*100</f>
        <v>2.060737527</v>
      </c>
      <c r="D62" s="27">
        <f t="shared" si="16"/>
        <v>24.51292951</v>
      </c>
      <c r="E62" s="1"/>
      <c r="F62" s="1"/>
      <c r="G62" s="1"/>
      <c r="H62" s="1"/>
      <c r="I62" s="1"/>
      <c r="J62" s="1"/>
      <c r="K62" s="1"/>
      <c r="L62" s="1"/>
      <c r="M62" s="1"/>
      <c r="N62" s="1"/>
      <c r="O62" s="1"/>
      <c r="P62" s="1"/>
      <c r="Q62" s="1"/>
      <c r="R62" s="1"/>
      <c r="S62" s="1"/>
      <c r="T62" s="1"/>
      <c r="U62" s="1"/>
      <c r="V62" s="1"/>
      <c r="W62" s="1"/>
      <c r="X62" s="1"/>
      <c r="Y62" s="1"/>
      <c r="Z62" s="1"/>
    </row>
    <row r="63" ht="15.75" customHeight="1">
      <c r="A63" s="26"/>
      <c r="B63" s="12"/>
      <c r="C63" s="12"/>
      <c r="D63" s="27"/>
      <c r="E63" s="1"/>
      <c r="F63" s="1"/>
      <c r="G63" s="1"/>
      <c r="H63" s="1"/>
      <c r="I63" s="1"/>
      <c r="J63" s="1"/>
      <c r="K63" s="1"/>
      <c r="L63" s="1"/>
      <c r="M63" s="1"/>
      <c r="N63" s="1"/>
      <c r="O63" s="1"/>
      <c r="P63" s="1"/>
      <c r="Q63" s="1"/>
      <c r="R63" s="1"/>
      <c r="S63" s="1"/>
      <c r="T63" s="1"/>
      <c r="U63" s="1"/>
      <c r="V63" s="1"/>
      <c r="W63" s="1"/>
      <c r="X63" s="1"/>
      <c r="Y63" s="1"/>
      <c r="Z63" s="1"/>
    </row>
    <row r="64" ht="15.75" customHeight="1">
      <c r="A64" s="23" t="s">
        <v>73</v>
      </c>
      <c r="B64" s="24">
        <f t="shared" ref="B64:D64" si="17">B24-B61</f>
        <v>274</v>
      </c>
      <c r="C64" s="24">
        <f t="shared" si="17"/>
        <v>1502</v>
      </c>
      <c r="D64" s="25">
        <f t="shared" si="17"/>
        <v>2314</v>
      </c>
      <c r="E64" s="1"/>
      <c r="F64" s="1"/>
      <c r="G64" s="1"/>
      <c r="H64" s="1"/>
      <c r="I64" s="1"/>
      <c r="J64" s="1"/>
      <c r="K64" s="1"/>
      <c r="L64" s="1"/>
      <c r="M64" s="1"/>
      <c r="N64" s="1"/>
      <c r="O64" s="1"/>
      <c r="P64" s="1"/>
      <c r="Q64" s="1"/>
      <c r="R64" s="1"/>
      <c r="S64" s="1"/>
      <c r="T64" s="1"/>
      <c r="U64" s="1"/>
      <c r="V64" s="1"/>
      <c r="W64" s="1"/>
      <c r="X64" s="1"/>
      <c r="Y64" s="1"/>
      <c r="Z64" s="1"/>
    </row>
    <row r="65" ht="15.75" customHeight="1">
      <c r="A65" s="26" t="s">
        <v>41</v>
      </c>
      <c r="B65" s="12"/>
      <c r="C65" s="12">
        <f t="shared" ref="C65:D65" si="18">(C64/B64-1)*100</f>
        <v>448.1751825</v>
      </c>
      <c r="D65" s="27">
        <f t="shared" si="18"/>
        <v>54.06125166</v>
      </c>
      <c r="E65" s="1"/>
      <c r="F65" s="1"/>
      <c r="G65" s="1"/>
      <c r="H65" s="1"/>
      <c r="I65" s="1"/>
      <c r="J65" s="1"/>
      <c r="K65" s="1"/>
      <c r="L65" s="1"/>
      <c r="M65" s="1"/>
      <c r="N65" s="1"/>
      <c r="O65" s="1"/>
      <c r="P65" s="1"/>
      <c r="Q65" s="1"/>
      <c r="R65" s="1"/>
      <c r="S65" s="1"/>
      <c r="T65" s="1"/>
      <c r="U65" s="1"/>
      <c r="V65" s="1"/>
      <c r="W65" s="1"/>
      <c r="X65" s="1"/>
      <c r="Y65" s="1"/>
      <c r="Z65" s="1"/>
    </row>
    <row r="66" ht="15.75" customHeight="1">
      <c r="A66" s="26"/>
      <c r="B66" s="12"/>
      <c r="C66" s="12"/>
      <c r="D66" s="27"/>
      <c r="E66" s="1"/>
      <c r="F66" s="1"/>
      <c r="G66" s="1"/>
      <c r="H66" s="1"/>
      <c r="I66" s="1"/>
      <c r="J66" s="1"/>
      <c r="K66" s="1"/>
      <c r="L66" s="1"/>
      <c r="M66" s="1"/>
      <c r="N66" s="1"/>
      <c r="O66" s="1"/>
      <c r="P66" s="1"/>
      <c r="Q66" s="1"/>
      <c r="R66" s="1"/>
      <c r="S66" s="1"/>
      <c r="T66" s="1"/>
      <c r="U66" s="1"/>
      <c r="V66" s="1"/>
      <c r="W66" s="1"/>
      <c r="X66" s="1"/>
      <c r="Y66" s="1"/>
      <c r="Z66" s="1"/>
    </row>
    <row r="67" ht="15.75" hidden="1" customHeight="1" outlineLevel="1">
      <c r="A67" s="26" t="s">
        <v>74</v>
      </c>
      <c r="B67" s="12">
        <v>30.0</v>
      </c>
      <c r="C67" s="12">
        <v>33.0</v>
      </c>
      <c r="D67" s="27">
        <v>44.0</v>
      </c>
      <c r="E67" s="1"/>
      <c r="F67" s="1"/>
      <c r="G67" s="1"/>
      <c r="H67" s="1"/>
      <c r="I67" s="1"/>
      <c r="J67" s="1"/>
      <c r="K67" s="1"/>
      <c r="L67" s="1"/>
      <c r="M67" s="1"/>
      <c r="N67" s="1"/>
      <c r="O67" s="1"/>
      <c r="P67" s="1"/>
      <c r="Q67" s="1"/>
      <c r="R67" s="1"/>
      <c r="S67" s="1"/>
      <c r="T67" s="1"/>
      <c r="U67" s="1"/>
      <c r="V67" s="1"/>
      <c r="W67" s="1"/>
      <c r="X67" s="1"/>
      <c r="Y67" s="1"/>
      <c r="Z67" s="1"/>
    </row>
    <row r="68" ht="15.75" hidden="1" customHeight="1" outlineLevel="1">
      <c r="A68" s="26" t="s">
        <v>75</v>
      </c>
      <c r="B68" s="12">
        <v>80.0</v>
      </c>
      <c r="C68" s="12">
        <v>1.0</v>
      </c>
      <c r="D68" s="27">
        <v>5.0</v>
      </c>
      <c r="E68" s="1"/>
      <c r="F68" s="1"/>
      <c r="G68" s="1"/>
      <c r="H68" s="1"/>
      <c r="I68" s="1"/>
      <c r="J68" s="1"/>
      <c r="K68" s="1"/>
      <c r="L68" s="1"/>
      <c r="M68" s="1"/>
      <c r="N68" s="1"/>
      <c r="O68" s="1"/>
      <c r="P68" s="1"/>
      <c r="Q68" s="1"/>
      <c r="R68" s="1"/>
      <c r="S68" s="1"/>
      <c r="T68" s="1"/>
      <c r="U68" s="1"/>
      <c r="V68" s="1"/>
      <c r="W68" s="1"/>
      <c r="X68" s="1"/>
      <c r="Y68" s="1"/>
      <c r="Z68" s="1"/>
    </row>
    <row r="69" ht="15.75" hidden="1" customHeight="1" outlineLevel="1">
      <c r="A69" s="1" t="s">
        <v>76</v>
      </c>
      <c r="B69" s="12">
        <v>30.0</v>
      </c>
      <c r="C69" s="12">
        <v>39.0</v>
      </c>
      <c r="D69" s="27">
        <v>48.0</v>
      </c>
      <c r="E69" s="1"/>
      <c r="F69" s="1"/>
      <c r="G69" s="1"/>
      <c r="H69" s="1"/>
      <c r="I69" s="1"/>
      <c r="J69" s="1"/>
      <c r="K69" s="1"/>
      <c r="L69" s="1"/>
      <c r="M69" s="1"/>
      <c r="N69" s="1"/>
      <c r="O69" s="1"/>
      <c r="P69" s="1"/>
      <c r="Q69" s="1"/>
      <c r="R69" s="1"/>
      <c r="S69" s="1"/>
      <c r="T69" s="1"/>
      <c r="U69" s="1"/>
      <c r="V69" s="1"/>
      <c r="W69" s="1"/>
      <c r="X69" s="1"/>
      <c r="Y69" s="1"/>
      <c r="Z69" s="1"/>
    </row>
    <row r="70" ht="15.75" customHeight="1" collapsed="1">
      <c r="A70" s="23" t="s">
        <v>77</v>
      </c>
      <c r="B70" s="24">
        <f t="shared" ref="B70:D70" si="19">SUM(B67:B69)</f>
        <v>140</v>
      </c>
      <c r="C70" s="24">
        <f t="shared" si="19"/>
        <v>73</v>
      </c>
      <c r="D70" s="25">
        <f t="shared" si="19"/>
        <v>97</v>
      </c>
      <c r="E70" s="1"/>
      <c r="F70" s="1"/>
      <c r="G70" s="1"/>
      <c r="H70" s="1"/>
      <c r="I70" s="1"/>
      <c r="J70" s="1"/>
      <c r="K70" s="1"/>
      <c r="L70" s="1"/>
      <c r="M70" s="1"/>
      <c r="N70" s="1"/>
      <c r="O70" s="1"/>
      <c r="P70" s="1"/>
      <c r="Q70" s="1"/>
      <c r="R70" s="1"/>
      <c r="S70" s="1"/>
      <c r="T70" s="1"/>
      <c r="U70" s="1"/>
      <c r="V70" s="1"/>
      <c r="W70" s="1"/>
      <c r="X70" s="1"/>
      <c r="Y70" s="1"/>
      <c r="Z70" s="1"/>
    </row>
    <row r="71" ht="15.75" customHeight="1">
      <c r="A71" s="26" t="s">
        <v>41</v>
      </c>
      <c r="B71" s="12"/>
      <c r="C71" s="12">
        <f t="shared" ref="C71:D71" si="20">(C70/B70-1)*100</f>
        <v>-47.85714286</v>
      </c>
      <c r="D71" s="27">
        <f t="shared" si="20"/>
        <v>32.87671233</v>
      </c>
      <c r="E71" s="1"/>
      <c r="F71" s="1"/>
      <c r="G71" s="1"/>
      <c r="H71" s="1"/>
      <c r="I71" s="1"/>
      <c r="J71" s="1"/>
      <c r="K71" s="1"/>
      <c r="L71" s="1"/>
      <c r="M71" s="1"/>
      <c r="N71" s="1"/>
      <c r="O71" s="1"/>
      <c r="P71" s="1"/>
      <c r="Q71" s="1"/>
      <c r="R71" s="1"/>
      <c r="S71" s="1"/>
      <c r="T71" s="1"/>
      <c r="U71" s="1"/>
      <c r="V71" s="1"/>
      <c r="W71" s="1"/>
      <c r="X71" s="1"/>
      <c r="Y71" s="1"/>
      <c r="Z71" s="1"/>
    </row>
    <row r="72" ht="15.75" customHeight="1">
      <c r="A72" s="26"/>
      <c r="B72" s="12"/>
      <c r="C72" s="12"/>
      <c r="D72" s="27"/>
      <c r="E72" s="1"/>
      <c r="F72" s="1"/>
      <c r="G72" s="1"/>
      <c r="H72" s="1"/>
      <c r="I72" s="1"/>
      <c r="J72" s="1"/>
      <c r="K72" s="1"/>
      <c r="L72" s="1"/>
      <c r="M72" s="1"/>
      <c r="N72" s="1"/>
      <c r="O72" s="1"/>
      <c r="P72" s="1"/>
      <c r="Q72" s="1"/>
      <c r="R72" s="1"/>
      <c r="S72" s="1"/>
      <c r="T72" s="1"/>
      <c r="U72" s="1"/>
      <c r="V72" s="1"/>
      <c r="W72" s="1"/>
      <c r="X72" s="1"/>
      <c r="Y72" s="1"/>
      <c r="Z72" s="1"/>
    </row>
    <row r="73" ht="15.75" customHeight="1">
      <c r="A73" s="28" t="s">
        <v>78</v>
      </c>
      <c r="B73" s="29">
        <f t="shared" ref="B73:D73" si="21">B64-B70</f>
        <v>134</v>
      </c>
      <c r="C73" s="29">
        <f t="shared" si="21"/>
        <v>1429</v>
      </c>
      <c r="D73" s="30">
        <f t="shared" si="21"/>
        <v>2217</v>
      </c>
      <c r="E73" s="1"/>
      <c r="F73" s="1"/>
      <c r="G73" s="1"/>
      <c r="H73" s="1"/>
      <c r="I73" s="1"/>
      <c r="J73" s="1"/>
      <c r="K73" s="1"/>
      <c r="L73" s="1"/>
      <c r="M73" s="1"/>
      <c r="N73" s="1"/>
      <c r="O73" s="1"/>
      <c r="P73" s="1"/>
      <c r="Q73" s="1"/>
      <c r="R73" s="1"/>
      <c r="S73" s="1"/>
      <c r="T73" s="1"/>
      <c r="U73" s="1"/>
      <c r="V73" s="1"/>
      <c r="W73" s="1"/>
      <c r="X73" s="1"/>
      <c r="Y73" s="1"/>
      <c r="Z73" s="1"/>
    </row>
    <row r="74" ht="15.75" customHeight="1">
      <c r="A74" s="37" t="s">
        <v>41</v>
      </c>
      <c r="B74" s="38"/>
      <c r="C74" s="38">
        <f t="shared" ref="C74:D74" si="22">(C73/B73-1)*100</f>
        <v>966.4179104</v>
      </c>
      <c r="D74" s="39">
        <f t="shared" si="22"/>
        <v>55.14345696</v>
      </c>
      <c r="E74" s="1"/>
      <c r="F74" s="1"/>
      <c r="G74" s="1"/>
      <c r="H74" s="1"/>
      <c r="I74" s="1"/>
      <c r="J74" s="1"/>
      <c r="K74" s="1"/>
      <c r="L74" s="1"/>
      <c r="M74" s="1"/>
      <c r="N74" s="1"/>
      <c r="O74" s="1"/>
      <c r="P74" s="1"/>
      <c r="Q74" s="1"/>
      <c r="R74" s="1"/>
      <c r="S74" s="1"/>
      <c r="T74" s="1"/>
      <c r="U74" s="1"/>
      <c r="V74" s="1"/>
      <c r="W74" s="1"/>
      <c r="X74" s="1"/>
      <c r="Y74" s="1"/>
      <c r="Z74" s="1"/>
    </row>
    <row r="75" ht="15.75" customHeight="1">
      <c r="A75" s="12"/>
      <c r="B75" s="13"/>
      <c r="C75" s="40"/>
      <c r="D75" s="41"/>
      <c r="E75" s="1"/>
      <c r="F75" s="1"/>
      <c r="G75" s="1"/>
      <c r="H75" s="1"/>
      <c r="I75" s="1"/>
      <c r="J75" s="1"/>
      <c r="K75" s="1"/>
      <c r="L75" s="1"/>
      <c r="M75" s="1"/>
      <c r="N75" s="1"/>
      <c r="O75" s="1"/>
      <c r="P75" s="1"/>
      <c r="Q75" s="1"/>
      <c r="R75" s="1"/>
      <c r="S75" s="1"/>
      <c r="T75" s="1"/>
      <c r="U75" s="1"/>
      <c r="V75" s="1"/>
      <c r="W75" s="1"/>
      <c r="X75" s="1"/>
      <c r="Y75" s="1"/>
      <c r="Z75" s="1"/>
    </row>
    <row r="76" ht="15.75" hidden="1" customHeight="1" outlineLevel="1">
      <c r="A76" s="42" t="s">
        <v>79</v>
      </c>
      <c r="B76" s="43">
        <v>0.0</v>
      </c>
      <c r="C76" s="43">
        <v>0.0</v>
      </c>
      <c r="D76" s="44">
        <v>0.0</v>
      </c>
      <c r="E76" s="1"/>
      <c r="F76" s="1"/>
      <c r="G76" s="1"/>
      <c r="H76" s="1"/>
      <c r="I76" s="1"/>
      <c r="J76" s="1"/>
      <c r="K76" s="1"/>
      <c r="L76" s="1"/>
      <c r="M76" s="1"/>
      <c r="N76" s="1"/>
      <c r="O76" s="1"/>
      <c r="P76" s="1"/>
      <c r="Q76" s="1"/>
      <c r="R76" s="1"/>
      <c r="S76" s="1"/>
      <c r="T76" s="1"/>
      <c r="U76" s="1"/>
      <c r="V76" s="1"/>
      <c r="W76" s="1"/>
      <c r="X76" s="1"/>
      <c r="Y76" s="1"/>
      <c r="Z76" s="1"/>
    </row>
    <row r="77" ht="15.75" hidden="1" customHeight="1" outlineLevel="1">
      <c r="A77" s="42" t="s">
        <v>80</v>
      </c>
      <c r="B77" s="1">
        <v>14.0</v>
      </c>
      <c r="C77" s="1">
        <v>16.0</v>
      </c>
      <c r="D77" s="45">
        <v>14.0</v>
      </c>
      <c r="E77" s="1"/>
      <c r="F77" s="1"/>
      <c r="G77" s="1"/>
      <c r="H77" s="1"/>
      <c r="I77" s="1"/>
      <c r="J77" s="1"/>
      <c r="K77" s="1"/>
      <c r="L77" s="1"/>
      <c r="M77" s="1"/>
      <c r="N77" s="1"/>
      <c r="O77" s="1"/>
      <c r="P77" s="1"/>
      <c r="Q77" s="1"/>
      <c r="R77" s="1"/>
      <c r="S77" s="1"/>
      <c r="T77" s="1"/>
      <c r="U77" s="1"/>
      <c r="V77" s="1"/>
      <c r="W77" s="1"/>
      <c r="X77" s="1"/>
      <c r="Y77" s="1"/>
      <c r="Z77" s="1"/>
    </row>
    <row r="78" ht="15.75" hidden="1" customHeight="1" outlineLevel="1">
      <c r="A78" s="42" t="s">
        <v>81</v>
      </c>
      <c r="B78" s="1">
        <v>2.0</v>
      </c>
      <c r="C78" s="1">
        <v>2.0</v>
      </c>
      <c r="D78" s="45">
        <v>2.0</v>
      </c>
      <c r="E78" s="1"/>
      <c r="F78" s="1"/>
      <c r="G78" s="1"/>
      <c r="H78" s="1"/>
      <c r="I78" s="1"/>
      <c r="J78" s="1"/>
      <c r="K78" s="1"/>
      <c r="L78" s="1"/>
      <c r="M78" s="1"/>
      <c r="N78" s="1"/>
      <c r="O78" s="1"/>
      <c r="P78" s="1"/>
      <c r="Q78" s="1"/>
      <c r="R78" s="1"/>
      <c r="S78" s="1"/>
      <c r="T78" s="1"/>
      <c r="U78" s="1"/>
      <c r="V78" s="1"/>
      <c r="W78" s="1"/>
      <c r="X78" s="1"/>
      <c r="Y78" s="1"/>
      <c r="Z78" s="1"/>
    </row>
    <row r="79" ht="15.75" customHeight="1" collapsed="1">
      <c r="A79" s="46" t="s">
        <v>82</v>
      </c>
      <c r="B79" s="47">
        <f t="shared" ref="B79:D79" si="23">SUM(B76:B78)</f>
        <v>16</v>
      </c>
      <c r="C79" s="47">
        <f t="shared" si="23"/>
        <v>18</v>
      </c>
      <c r="D79" s="48">
        <f t="shared" si="23"/>
        <v>16</v>
      </c>
      <c r="E79" s="1"/>
      <c r="F79" s="1"/>
      <c r="G79" s="1"/>
      <c r="H79" s="1"/>
      <c r="I79" s="1"/>
      <c r="J79" s="1"/>
      <c r="K79" s="1"/>
      <c r="L79" s="1"/>
      <c r="M79" s="1"/>
      <c r="N79" s="1"/>
      <c r="O79" s="1"/>
      <c r="P79" s="1"/>
      <c r="Q79" s="1"/>
      <c r="R79" s="1"/>
      <c r="S79" s="1"/>
      <c r="T79" s="1"/>
      <c r="U79" s="1"/>
      <c r="V79" s="1"/>
      <c r="W79" s="1"/>
      <c r="X79" s="1"/>
      <c r="Y79" s="1"/>
      <c r="Z79" s="1"/>
    </row>
    <row r="80" ht="15.75" customHeight="1">
      <c r="A80" s="26" t="s">
        <v>41</v>
      </c>
      <c r="B80" s="12"/>
      <c r="C80" s="12"/>
      <c r="D80" s="27"/>
      <c r="E80" s="1"/>
      <c r="F80" s="1"/>
      <c r="G80" s="1"/>
      <c r="H80" s="1"/>
      <c r="I80" s="1"/>
      <c r="J80" s="1"/>
      <c r="K80" s="1"/>
      <c r="L80" s="1"/>
      <c r="M80" s="1"/>
      <c r="N80" s="1"/>
      <c r="O80" s="1"/>
      <c r="P80" s="1"/>
      <c r="Q80" s="1"/>
      <c r="R80" s="1"/>
      <c r="S80" s="1"/>
      <c r="T80" s="1"/>
      <c r="U80" s="1"/>
      <c r="V80" s="1"/>
      <c r="W80" s="1"/>
      <c r="X80" s="1"/>
      <c r="Y80" s="1"/>
      <c r="Z80" s="1"/>
    </row>
    <row r="81" ht="15.75" customHeight="1">
      <c r="A81" s="12"/>
      <c r="B81" s="13"/>
      <c r="C81" s="40"/>
      <c r="D81" s="41"/>
      <c r="E81" s="1"/>
      <c r="F81" s="1"/>
      <c r="G81" s="1"/>
      <c r="H81" s="1"/>
      <c r="I81" s="1"/>
      <c r="J81" s="1"/>
      <c r="K81" s="1"/>
      <c r="L81" s="1"/>
      <c r="M81" s="1"/>
      <c r="N81" s="1"/>
      <c r="O81" s="1"/>
      <c r="P81" s="1"/>
      <c r="Q81" s="1"/>
      <c r="R81" s="1"/>
      <c r="S81" s="1"/>
      <c r="T81" s="1"/>
      <c r="U81" s="1"/>
      <c r="V81" s="1"/>
      <c r="W81" s="1"/>
      <c r="X81" s="1"/>
      <c r="Y81" s="1"/>
      <c r="Z81" s="1"/>
    </row>
    <row r="82" ht="15.75" customHeight="1">
      <c r="A82" s="29" t="s">
        <v>83</v>
      </c>
      <c r="B82" s="49">
        <f t="shared" ref="B82:D82" si="24">B73-B79</f>
        <v>118</v>
      </c>
      <c r="C82" s="49">
        <f t="shared" si="24"/>
        <v>1411</v>
      </c>
      <c r="D82" s="50">
        <f t="shared" si="24"/>
        <v>2201</v>
      </c>
      <c r="E82" s="1"/>
      <c r="F82" s="1"/>
      <c r="G82" s="1"/>
      <c r="H82" s="1"/>
      <c r="I82" s="1"/>
      <c r="J82" s="1"/>
      <c r="K82" s="1"/>
      <c r="L82" s="1"/>
      <c r="M82" s="1"/>
      <c r="N82" s="1"/>
      <c r="O82" s="1"/>
      <c r="P82" s="1"/>
      <c r="Q82" s="1"/>
      <c r="R82" s="1"/>
      <c r="S82" s="1"/>
      <c r="T82" s="1"/>
      <c r="U82" s="1"/>
      <c r="V82" s="1"/>
      <c r="W82" s="1"/>
      <c r="X82" s="1"/>
      <c r="Y82" s="1"/>
      <c r="Z82" s="1"/>
    </row>
    <row r="83" ht="15.75" customHeight="1">
      <c r="A83" s="37" t="s">
        <v>41</v>
      </c>
      <c r="B83" s="51"/>
      <c r="C83" s="52">
        <f t="shared" ref="C83:D83" si="25">(C82/B82-1)*100</f>
        <v>1095.762712</v>
      </c>
      <c r="D83" s="53">
        <f t="shared" si="25"/>
        <v>55.98866052</v>
      </c>
      <c r="E83" s="1"/>
      <c r="F83" s="1"/>
      <c r="G83" s="1"/>
      <c r="H83" s="1"/>
      <c r="I83" s="1"/>
      <c r="J83" s="1"/>
      <c r="K83" s="1"/>
      <c r="L83" s="1"/>
      <c r="M83" s="1"/>
      <c r="N83" s="1"/>
      <c r="O83" s="1"/>
      <c r="P83" s="1"/>
      <c r="Q83" s="1"/>
      <c r="R83" s="1"/>
      <c r="S83" s="1"/>
      <c r="T83" s="1"/>
      <c r="U83" s="1"/>
      <c r="V83" s="1"/>
      <c r="W83" s="1"/>
      <c r="X83" s="1"/>
      <c r="Y83" s="1"/>
      <c r="Z83" s="1"/>
    </row>
    <row r="84" ht="15.75" customHeight="1">
      <c r="A84" s="12"/>
      <c r="B84" s="13"/>
      <c r="C84" s="40"/>
      <c r="D84" s="41"/>
      <c r="E84" s="1"/>
      <c r="F84" s="1"/>
      <c r="G84" s="1"/>
      <c r="H84" s="1"/>
      <c r="I84" s="1"/>
      <c r="J84" s="1"/>
      <c r="K84" s="1"/>
      <c r="L84" s="1"/>
      <c r="M84" s="1"/>
      <c r="N84" s="1"/>
      <c r="O84" s="1"/>
      <c r="P84" s="1"/>
      <c r="Q84" s="1"/>
      <c r="R84" s="1"/>
      <c r="S84" s="1"/>
      <c r="T84" s="1"/>
      <c r="U84" s="1"/>
      <c r="V84" s="1"/>
      <c r="W84" s="1"/>
      <c r="X84" s="1"/>
      <c r="Y84" s="1"/>
      <c r="Z84" s="1"/>
    </row>
    <row r="85" ht="15.75" hidden="1" customHeight="1" outlineLevel="1">
      <c r="A85" s="26" t="s">
        <v>84</v>
      </c>
      <c r="B85" s="12">
        <v>1.0</v>
      </c>
      <c r="C85" s="12">
        <v>252.0</v>
      </c>
      <c r="D85" s="27">
        <v>33.0</v>
      </c>
      <c r="E85" s="1"/>
      <c r="F85" s="1"/>
      <c r="G85" s="1"/>
      <c r="H85" s="1"/>
      <c r="I85" s="1"/>
      <c r="J85" s="1"/>
      <c r="K85" s="1"/>
      <c r="L85" s="1"/>
      <c r="M85" s="1"/>
      <c r="N85" s="1"/>
      <c r="O85" s="1"/>
      <c r="P85" s="1"/>
      <c r="Q85" s="1"/>
      <c r="R85" s="1"/>
      <c r="S85" s="1"/>
      <c r="T85" s="1"/>
      <c r="U85" s="1"/>
      <c r="V85" s="1"/>
      <c r="W85" s="1"/>
      <c r="X85" s="1"/>
      <c r="Y85" s="1"/>
      <c r="Z85" s="1"/>
    </row>
    <row r="86" ht="15.75" hidden="1" customHeight="1" outlineLevel="1">
      <c r="A86" s="26" t="s">
        <v>85</v>
      </c>
      <c r="B86" s="12">
        <v>-1.0</v>
      </c>
      <c r="C86" s="12">
        <v>-213.0</v>
      </c>
      <c r="D86" s="27">
        <v>-22.0</v>
      </c>
      <c r="E86" s="1"/>
      <c r="F86" s="1"/>
      <c r="G86" s="1"/>
      <c r="H86" s="1"/>
      <c r="I86" s="1"/>
      <c r="J86" s="1"/>
      <c r="K86" s="1"/>
      <c r="L86" s="1"/>
      <c r="M86" s="1"/>
      <c r="N86" s="1"/>
      <c r="O86" s="1"/>
      <c r="P86" s="1"/>
      <c r="Q86" s="1"/>
      <c r="R86" s="1"/>
      <c r="S86" s="1"/>
      <c r="T86" s="1"/>
      <c r="U86" s="1"/>
      <c r="V86" s="1"/>
      <c r="W86" s="1"/>
      <c r="X86" s="1"/>
      <c r="Y86" s="1"/>
      <c r="Z86" s="1"/>
    </row>
    <row r="87" ht="15.75" customHeight="1" collapsed="1">
      <c r="A87" s="46" t="s">
        <v>86</v>
      </c>
      <c r="B87" s="47">
        <f t="shared" ref="B87:D87" si="26">SUM(B85:B86)</f>
        <v>0</v>
      </c>
      <c r="C87" s="47">
        <f t="shared" si="26"/>
        <v>39</v>
      </c>
      <c r="D87" s="48">
        <f t="shared" si="26"/>
        <v>11</v>
      </c>
      <c r="E87" s="1"/>
      <c r="F87" s="1"/>
      <c r="G87" s="1"/>
      <c r="H87" s="1"/>
      <c r="I87" s="1"/>
      <c r="J87" s="1"/>
      <c r="K87" s="1"/>
      <c r="L87" s="1"/>
      <c r="M87" s="1"/>
      <c r="N87" s="1"/>
      <c r="O87" s="1"/>
      <c r="P87" s="1"/>
      <c r="Q87" s="1"/>
      <c r="R87" s="1"/>
      <c r="S87" s="1"/>
      <c r="T87" s="1"/>
      <c r="U87" s="1"/>
      <c r="V87" s="1"/>
      <c r="W87" s="1"/>
      <c r="X87" s="1"/>
      <c r="Y87" s="1"/>
      <c r="Z87" s="1"/>
    </row>
    <row r="88" ht="15.75" customHeight="1">
      <c r="A88" s="26" t="s">
        <v>41</v>
      </c>
      <c r="B88" s="12"/>
      <c r="C88" s="12"/>
      <c r="D88" s="27">
        <f>(D87/C87-1)*100</f>
        <v>-71.79487179</v>
      </c>
      <c r="E88" s="1"/>
      <c r="F88" s="1"/>
      <c r="G88" s="1"/>
      <c r="H88" s="1"/>
      <c r="I88" s="1"/>
      <c r="J88" s="1"/>
      <c r="K88" s="1"/>
      <c r="L88" s="1"/>
      <c r="M88" s="1"/>
      <c r="N88" s="1"/>
      <c r="O88" s="1"/>
      <c r="P88" s="1"/>
      <c r="Q88" s="1"/>
      <c r="R88" s="1"/>
      <c r="S88" s="1"/>
      <c r="T88" s="1"/>
      <c r="U88" s="1"/>
      <c r="V88" s="1"/>
      <c r="W88" s="1"/>
      <c r="X88" s="1"/>
      <c r="Y88" s="1"/>
      <c r="Z88" s="1"/>
    </row>
    <row r="89" ht="15.75" customHeight="1">
      <c r="A89" s="12"/>
      <c r="B89" s="13"/>
      <c r="C89" s="40"/>
      <c r="D89" s="41"/>
      <c r="E89" s="1"/>
      <c r="F89" s="1"/>
      <c r="G89" s="1"/>
      <c r="H89" s="1"/>
      <c r="I89" s="1"/>
      <c r="J89" s="1"/>
      <c r="K89" s="1"/>
      <c r="L89" s="1"/>
      <c r="M89" s="1"/>
      <c r="N89" s="1"/>
      <c r="O89" s="1"/>
      <c r="P89" s="1"/>
      <c r="Q89" s="1"/>
      <c r="R89" s="1"/>
      <c r="S89" s="1"/>
      <c r="T89" s="1"/>
      <c r="U89" s="1"/>
      <c r="V89" s="1"/>
      <c r="W89" s="1"/>
      <c r="X89" s="1"/>
      <c r="Y89" s="1"/>
      <c r="Z89" s="1"/>
    </row>
    <row r="90" ht="15.75" customHeight="1">
      <c r="A90" s="29" t="s">
        <v>87</v>
      </c>
      <c r="B90" s="49">
        <f t="shared" ref="B90:D90" si="27">B82-B87</f>
        <v>118</v>
      </c>
      <c r="C90" s="49">
        <f t="shared" si="27"/>
        <v>1372</v>
      </c>
      <c r="D90" s="50">
        <f t="shared" si="27"/>
        <v>2190</v>
      </c>
      <c r="E90" s="1"/>
      <c r="F90" s="1"/>
      <c r="G90" s="1"/>
      <c r="H90" s="1"/>
      <c r="I90" s="1"/>
      <c r="J90" s="1"/>
      <c r="K90" s="1"/>
      <c r="L90" s="1"/>
      <c r="M90" s="1"/>
      <c r="N90" s="1"/>
      <c r="O90" s="1"/>
      <c r="P90" s="1"/>
      <c r="Q90" s="1"/>
      <c r="R90" s="1"/>
      <c r="S90" s="1"/>
      <c r="T90" s="1"/>
      <c r="U90" s="1"/>
      <c r="V90" s="1"/>
      <c r="W90" s="1"/>
      <c r="X90" s="1"/>
      <c r="Y90" s="1"/>
      <c r="Z90" s="1"/>
    </row>
    <row r="91" ht="15.75" customHeight="1">
      <c r="A91" s="37" t="s">
        <v>41</v>
      </c>
      <c r="B91" s="51"/>
      <c r="C91" s="52"/>
      <c r="D91" s="53"/>
      <c r="E91" s="1"/>
      <c r="F91" s="1"/>
      <c r="G91" s="1"/>
      <c r="H91" s="1"/>
      <c r="I91" s="1"/>
      <c r="J91" s="1"/>
      <c r="K91" s="1"/>
      <c r="L91" s="1"/>
      <c r="M91" s="1"/>
      <c r="N91" s="1"/>
      <c r="O91" s="1"/>
      <c r="P91" s="1"/>
      <c r="Q91" s="1"/>
      <c r="R91" s="1"/>
      <c r="S91" s="1"/>
      <c r="T91" s="1"/>
      <c r="U91" s="1"/>
      <c r="V91" s="1"/>
      <c r="W91" s="1"/>
      <c r="X91" s="1"/>
      <c r="Y91" s="1"/>
      <c r="Z91" s="1"/>
    </row>
    <row r="92" ht="15.75" customHeight="1">
      <c r="A92" s="12"/>
      <c r="B92" s="13"/>
      <c r="C92" s="40"/>
      <c r="D92" s="41"/>
      <c r="E92" s="1"/>
      <c r="F92" s="1"/>
      <c r="G92" s="1"/>
      <c r="H92" s="1"/>
      <c r="I92" s="1"/>
      <c r="J92" s="1"/>
      <c r="K92" s="1"/>
      <c r="L92" s="1"/>
      <c r="M92" s="1"/>
      <c r="N92" s="1"/>
      <c r="O92" s="1"/>
      <c r="P92" s="1"/>
      <c r="Q92" s="1"/>
      <c r="R92" s="1"/>
      <c r="S92" s="1"/>
      <c r="T92" s="1"/>
      <c r="U92" s="1"/>
      <c r="V92" s="1"/>
      <c r="W92" s="1"/>
      <c r="X92" s="1"/>
      <c r="Y92" s="1"/>
      <c r="Z92" s="1"/>
    </row>
    <row r="93" ht="15.75" hidden="1" customHeight="1" outlineLevel="1">
      <c r="A93" s="12" t="s">
        <v>88</v>
      </c>
      <c r="B93" s="13">
        <v>0.0</v>
      </c>
      <c r="C93" s="40">
        <v>1.0</v>
      </c>
      <c r="D93" s="41">
        <v>230.0</v>
      </c>
      <c r="E93" s="1"/>
      <c r="F93" s="1"/>
      <c r="G93" s="1"/>
      <c r="H93" s="1"/>
      <c r="I93" s="1"/>
      <c r="J93" s="1"/>
      <c r="K93" s="1"/>
      <c r="L93" s="1"/>
      <c r="M93" s="1"/>
      <c r="N93" s="1"/>
      <c r="O93" s="1"/>
      <c r="P93" s="1"/>
      <c r="Q93" s="1"/>
      <c r="R93" s="1"/>
      <c r="S93" s="1"/>
      <c r="T93" s="1"/>
      <c r="U93" s="1"/>
      <c r="V93" s="1"/>
      <c r="W93" s="1"/>
      <c r="X93" s="1"/>
      <c r="Y93" s="1"/>
      <c r="Z93" s="1"/>
    </row>
    <row r="94" ht="15.75" hidden="1" customHeight="1" outlineLevel="1">
      <c r="A94" s="12" t="s">
        <v>89</v>
      </c>
      <c r="B94" s="13">
        <v>0.0</v>
      </c>
      <c r="C94" s="40">
        <v>0.0</v>
      </c>
      <c r="D94" s="41">
        <v>0.0</v>
      </c>
      <c r="E94" s="1"/>
      <c r="F94" s="1"/>
      <c r="G94" s="1"/>
      <c r="H94" s="1"/>
      <c r="I94" s="1"/>
      <c r="J94" s="1"/>
      <c r="K94" s="1"/>
      <c r="L94" s="1"/>
      <c r="M94" s="1"/>
      <c r="N94" s="1"/>
      <c r="O94" s="1"/>
      <c r="P94" s="1"/>
      <c r="Q94" s="1"/>
      <c r="R94" s="1"/>
      <c r="S94" s="1"/>
      <c r="T94" s="1"/>
      <c r="U94" s="1"/>
      <c r="V94" s="1"/>
      <c r="W94" s="1"/>
      <c r="X94" s="1"/>
      <c r="Y94" s="1"/>
      <c r="Z94" s="1"/>
    </row>
    <row r="95" ht="15.75" customHeight="1" collapsed="1">
      <c r="A95" s="47" t="s">
        <v>90</v>
      </c>
      <c r="B95" s="54">
        <f t="shared" ref="B95:D95" si="28">SUM(B93:B94)</f>
        <v>0</v>
      </c>
      <c r="C95" s="54">
        <f t="shared" si="28"/>
        <v>1</v>
      </c>
      <c r="D95" s="55">
        <f t="shared" si="28"/>
        <v>230</v>
      </c>
      <c r="E95" s="1"/>
      <c r="F95" s="1"/>
      <c r="G95" s="1"/>
      <c r="H95" s="1"/>
      <c r="I95" s="1"/>
      <c r="J95" s="1"/>
      <c r="K95" s="1"/>
      <c r="L95" s="1"/>
      <c r="M95" s="1"/>
      <c r="N95" s="1"/>
      <c r="O95" s="1"/>
      <c r="P95" s="1"/>
      <c r="Q95" s="1"/>
      <c r="R95" s="1"/>
      <c r="S95" s="1"/>
      <c r="T95" s="1"/>
      <c r="U95" s="1"/>
      <c r="V95" s="1"/>
      <c r="W95" s="1"/>
      <c r="X95" s="1"/>
      <c r="Y95" s="1"/>
      <c r="Z95" s="1"/>
    </row>
    <row r="96" ht="15.75" customHeight="1">
      <c r="A96" s="37" t="s">
        <v>41</v>
      </c>
      <c r="B96" s="13"/>
      <c r="C96" s="40"/>
      <c r="D96" s="53">
        <f>(D95/C95-1)*100</f>
        <v>22900</v>
      </c>
      <c r="E96" s="1"/>
      <c r="F96" s="1"/>
      <c r="G96" s="1"/>
      <c r="H96" s="1"/>
      <c r="I96" s="1"/>
      <c r="J96" s="1"/>
      <c r="K96" s="1"/>
      <c r="L96" s="1"/>
      <c r="M96" s="1"/>
      <c r="N96" s="1"/>
      <c r="O96" s="1"/>
      <c r="P96" s="1"/>
      <c r="Q96" s="1"/>
      <c r="R96" s="1"/>
      <c r="S96" s="1"/>
      <c r="T96" s="1"/>
      <c r="U96" s="1"/>
      <c r="V96" s="1"/>
      <c r="W96" s="1"/>
      <c r="X96" s="1"/>
      <c r="Y96" s="1"/>
      <c r="Z96" s="1"/>
    </row>
    <row r="97" ht="15.75" customHeight="1">
      <c r="A97" s="12"/>
      <c r="B97" s="13"/>
      <c r="C97" s="40"/>
      <c r="D97" s="41"/>
      <c r="E97" s="1"/>
      <c r="F97" s="1"/>
      <c r="G97" s="1"/>
      <c r="H97" s="1"/>
      <c r="I97" s="1"/>
      <c r="J97" s="1"/>
      <c r="K97" s="1"/>
      <c r="L97" s="1"/>
      <c r="M97" s="1"/>
      <c r="N97" s="1"/>
      <c r="O97" s="1"/>
      <c r="P97" s="1"/>
      <c r="Q97" s="1"/>
      <c r="R97" s="1"/>
      <c r="S97" s="1"/>
      <c r="T97" s="1"/>
      <c r="U97" s="1"/>
      <c r="V97" s="1"/>
      <c r="W97" s="1"/>
      <c r="X97" s="1"/>
      <c r="Y97" s="1"/>
      <c r="Z97" s="1"/>
    </row>
    <row r="98" ht="15.75" customHeight="1">
      <c r="A98" s="47" t="s">
        <v>91</v>
      </c>
      <c r="B98" s="54">
        <f t="shared" ref="B98:D98" si="29">B90-B95</f>
        <v>118</v>
      </c>
      <c r="C98" s="54">
        <f t="shared" si="29"/>
        <v>1371</v>
      </c>
      <c r="D98" s="55">
        <f t="shared" si="29"/>
        <v>1960</v>
      </c>
      <c r="E98" s="1"/>
      <c r="F98" s="1"/>
      <c r="G98" s="1"/>
      <c r="H98" s="1"/>
      <c r="I98" s="1"/>
      <c r="J98" s="1"/>
      <c r="K98" s="1"/>
      <c r="L98" s="1"/>
      <c r="M98" s="1"/>
      <c r="N98" s="1"/>
      <c r="O98" s="1"/>
      <c r="P98" s="1"/>
      <c r="Q98" s="1"/>
      <c r="R98" s="1"/>
      <c r="S98" s="1"/>
      <c r="T98" s="1"/>
      <c r="U98" s="1"/>
      <c r="V98" s="1"/>
      <c r="W98" s="1"/>
      <c r="X98" s="1"/>
      <c r="Y98" s="1"/>
      <c r="Z98" s="1"/>
    </row>
    <row r="99" ht="15.75" customHeight="1">
      <c r="A99" s="56" t="s">
        <v>41</v>
      </c>
      <c r="B99" s="57"/>
      <c r="C99" s="58">
        <f t="shared" ref="C99:D99" si="30">(C98/B98-1)*100</f>
        <v>1061.864407</v>
      </c>
      <c r="D99" s="59">
        <f t="shared" si="30"/>
        <v>42.96134209</v>
      </c>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D1"/>
    <mergeCell ref="C2:D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outlineLevelRow="1"/>
  <cols>
    <col customWidth="1" min="1" max="1" width="5.44"/>
    <col customWidth="1" min="2" max="2" width="59.33"/>
    <col customWidth="1" min="3" max="5" width="10.67"/>
    <col customWidth="1" min="6" max="26" width="10.56"/>
  </cols>
  <sheetData>
    <row r="1" ht="49.5" customHeight="1">
      <c r="A1" s="60" t="s">
        <v>92</v>
      </c>
      <c r="B1" s="10"/>
      <c r="C1" s="10"/>
      <c r="D1" s="10"/>
      <c r="E1" s="11"/>
    </row>
    <row r="2" ht="15.75" customHeight="1">
      <c r="A2" s="1"/>
      <c r="B2" s="61"/>
      <c r="C2" s="62"/>
      <c r="D2" s="63" t="s">
        <v>19</v>
      </c>
      <c r="E2" s="64"/>
    </row>
    <row r="3" ht="24.75" customHeight="1">
      <c r="A3" s="65" t="s">
        <v>93</v>
      </c>
      <c r="B3" s="66" t="s">
        <v>20</v>
      </c>
      <c r="C3" s="67" t="s">
        <v>21</v>
      </c>
      <c r="D3" s="67" t="s">
        <v>22</v>
      </c>
      <c r="E3" s="68" t="s">
        <v>23</v>
      </c>
    </row>
    <row r="4" ht="15.75" customHeight="1">
      <c r="A4" s="69" t="s">
        <v>94</v>
      </c>
      <c r="B4" s="70"/>
      <c r="C4" s="70"/>
      <c r="D4" s="70"/>
      <c r="E4" s="71"/>
    </row>
    <row r="5" ht="15.75" customHeight="1">
      <c r="A5" s="72" t="s">
        <v>95</v>
      </c>
      <c r="B5" s="73" t="s">
        <v>96</v>
      </c>
      <c r="C5" s="74"/>
      <c r="D5" s="74"/>
      <c r="E5" s="75"/>
    </row>
    <row r="6" ht="15.75" hidden="1" customHeight="1" outlineLevel="1">
      <c r="A6" s="76" t="s">
        <v>97</v>
      </c>
      <c r="B6" s="1" t="s">
        <v>98</v>
      </c>
      <c r="C6" s="43">
        <v>59.0</v>
      </c>
      <c r="D6" s="43">
        <v>62.0</v>
      </c>
      <c r="E6" s="77">
        <v>86.0</v>
      </c>
    </row>
    <row r="7" ht="15.75" hidden="1" customHeight="1" outlineLevel="1">
      <c r="A7" s="76" t="s">
        <v>99</v>
      </c>
      <c r="B7" s="1" t="s">
        <v>100</v>
      </c>
      <c r="C7" s="43">
        <v>0.0</v>
      </c>
      <c r="D7" s="43">
        <v>0.0</v>
      </c>
      <c r="E7" s="77">
        <v>0.0</v>
      </c>
    </row>
    <row r="8" ht="15.75" hidden="1" customHeight="1" outlineLevel="1">
      <c r="A8" s="76" t="s">
        <v>101</v>
      </c>
      <c r="B8" s="1" t="s">
        <v>102</v>
      </c>
      <c r="C8" s="43">
        <v>134.0</v>
      </c>
      <c r="D8" s="43">
        <v>123.0</v>
      </c>
      <c r="E8" s="77">
        <v>151.0</v>
      </c>
    </row>
    <row r="9" ht="15.75" hidden="1" customHeight="1" outlineLevel="1">
      <c r="A9" s="76" t="s">
        <v>103</v>
      </c>
      <c r="B9" s="1" t="s">
        <v>104</v>
      </c>
      <c r="C9" s="43">
        <v>1209.0</v>
      </c>
      <c r="D9" s="43">
        <v>1209.0</v>
      </c>
      <c r="E9" s="77">
        <v>1209.0</v>
      </c>
    </row>
    <row r="10" ht="15.75" hidden="1" customHeight="1" outlineLevel="1">
      <c r="A10" s="76" t="s">
        <v>105</v>
      </c>
      <c r="B10" s="1" t="s">
        <v>106</v>
      </c>
      <c r="C10" s="43">
        <v>0.0</v>
      </c>
      <c r="D10" s="43">
        <v>4.0</v>
      </c>
      <c r="E10" s="77">
        <v>25.0</v>
      </c>
    </row>
    <row r="11" ht="15.75" hidden="1" customHeight="1" outlineLevel="1">
      <c r="A11" s="76" t="s">
        <v>107</v>
      </c>
      <c r="B11" s="1" t="s">
        <v>108</v>
      </c>
      <c r="C11" s="1"/>
      <c r="D11" s="1"/>
      <c r="E11" s="78"/>
    </row>
    <row r="12" ht="15.75" hidden="1" customHeight="1" outlineLevel="1">
      <c r="A12" s="76" t="s">
        <v>109</v>
      </c>
      <c r="B12" s="1" t="s">
        <v>110</v>
      </c>
      <c r="C12" s="43">
        <v>8862.0</v>
      </c>
      <c r="D12" s="43">
        <v>18445.0</v>
      </c>
      <c r="E12" s="77">
        <v>24431.0</v>
      </c>
    </row>
    <row r="13" ht="15.75" hidden="1" customHeight="1" outlineLevel="1">
      <c r="A13" s="76" t="s">
        <v>111</v>
      </c>
      <c r="B13" s="1" t="s">
        <v>112</v>
      </c>
      <c r="C13" s="43">
        <v>958.0</v>
      </c>
      <c r="D13" s="43">
        <v>0.0</v>
      </c>
      <c r="E13" s="77">
        <v>880.0</v>
      </c>
    </row>
    <row r="14" ht="15.75" hidden="1" customHeight="1" outlineLevel="1">
      <c r="A14" s="76" t="s">
        <v>113</v>
      </c>
      <c r="B14" s="1" t="s">
        <v>114</v>
      </c>
      <c r="C14" s="43">
        <v>1863.0</v>
      </c>
      <c r="D14" s="43">
        <v>717.0</v>
      </c>
      <c r="E14" s="77">
        <v>2636.0</v>
      </c>
    </row>
    <row r="15" ht="15.75" hidden="1" customHeight="1" outlineLevel="1">
      <c r="A15" s="76" t="s">
        <v>115</v>
      </c>
      <c r="B15" s="1" t="s">
        <v>116</v>
      </c>
      <c r="C15" s="43">
        <v>96.0</v>
      </c>
      <c r="D15" s="43">
        <v>176.0</v>
      </c>
      <c r="E15" s="77">
        <v>48.0</v>
      </c>
    </row>
    <row r="16" ht="15.75" hidden="1" customHeight="1" outlineLevel="1">
      <c r="A16" s="76" t="s">
        <v>117</v>
      </c>
      <c r="B16" s="1" t="s">
        <v>118</v>
      </c>
      <c r="C16" s="43">
        <v>2.0</v>
      </c>
      <c r="D16" s="43">
        <v>42.0</v>
      </c>
      <c r="E16" s="77">
        <v>74.0</v>
      </c>
    </row>
    <row r="17" ht="15.75" customHeight="1" collapsed="1">
      <c r="A17" s="79"/>
      <c r="B17" s="74" t="s">
        <v>119</v>
      </c>
      <c r="C17" s="80">
        <f t="shared" ref="C17:E17" si="1">SUM(C6:C16)</f>
        <v>13183</v>
      </c>
      <c r="D17" s="80">
        <f t="shared" si="1"/>
        <v>20778</v>
      </c>
      <c r="E17" s="81">
        <f t="shared" si="1"/>
        <v>29540</v>
      </c>
    </row>
    <row r="18" ht="15.75" customHeight="1">
      <c r="A18" s="72" t="s">
        <v>120</v>
      </c>
      <c r="B18" s="73" t="s">
        <v>121</v>
      </c>
      <c r="C18" s="74"/>
      <c r="D18" s="74"/>
      <c r="E18" s="75"/>
    </row>
    <row r="19" ht="15.75" hidden="1" customHeight="1" outlineLevel="1">
      <c r="A19" s="76" t="s">
        <v>97</v>
      </c>
      <c r="B19" s="1" t="s">
        <v>122</v>
      </c>
      <c r="C19" s="43">
        <v>0.0</v>
      </c>
      <c r="D19" s="43">
        <v>0.0</v>
      </c>
      <c r="E19" s="77">
        <v>0.0</v>
      </c>
    </row>
    <row r="20" ht="15.75" hidden="1" customHeight="1" outlineLevel="1">
      <c r="A20" s="76" t="s">
        <v>99</v>
      </c>
      <c r="B20" s="1" t="s">
        <v>108</v>
      </c>
      <c r="C20" s="1"/>
      <c r="D20" s="1"/>
      <c r="E20" s="78"/>
    </row>
    <row r="21" ht="15.75" hidden="1" customHeight="1" outlineLevel="1">
      <c r="A21" s="76" t="s">
        <v>109</v>
      </c>
      <c r="B21" s="1" t="s">
        <v>110</v>
      </c>
      <c r="C21" s="43">
        <v>3832.0</v>
      </c>
      <c r="D21" s="82">
        <v>927.0</v>
      </c>
      <c r="E21" s="83">
        <v>1442.0</v>
      </c>
    </row>
    <row r="22" ht="15.75" hidden="1" customHeight="1" outlineLevel="1">
      <c r="A22" s="76" t="s">
        <v>111</v>
      </c>
      <c r="B22" s="1" t="s">
        <v>123</v>
      </c>
      <c r="C22" s="43">
        <v>62.0</v>
      </c>
      <c r="D22" s="82">
        <v>69.0</v>
      </c>
      <c r="E22" s="84">
        <v>112.0</v>
      </c>
    </row>
    <row r="23" ht="15.75" hidden="1" customHeight="1" outlineLevel="1">
      <c r="A23" s="76" t="s">
        <v>113</v>
      </c>
      <c r="B23" s="1" t="s">
        <v>124</v>
      </c>
      <c r="C23" s="43">
        <v>123.0</v>
      </c>
      <c r="D23" s="82">
        <v>181.0</v>
      </c>
      <c r="E23" s="84">
        <v>431.0</v>
      </c>
    </row>
    <row r="24" ht="15.75" hidden="1" customHeight="1" outlineLevel="1">
      <c r="A24" s="76" t="s">
        <v>125</v>
      </c>
      <c r="B24" s="1" t="s">
        <v>126</v>
      </c>
      <c r="C24" s="43">
        <v>276.0</v>
      </c>
      <c r="D24" s="82">
        <v>278.0</v>
      </c>
      <c r="E24" s="83">
        <v>1368.0</v>
      </c>
    </row>
    <row r="25" ht="15.75" hidden="1" customHeight="1" outlineLevel="1">
      <c r="A25" s="76" t="s">
        <v>127</v>
      </c>
      <c r="B25" s="1" t="s">
        <v>114</v>
      </c>
      <c r="C25" s="43">
        <v>4400.0</v>
      </c>
      <c r="D25" s="85">
        <v>2015.0</v>
      </c>
      <c r="E25" s="83">
        <v>2753.0</v>
      </c>
    </row>
    <row r="26" ht="15.75" hidden="1" customHeight="1" outlineLevel="1">
      <c r="A26" s="76" t="s">
        <v>101</v>
      </c>
      <c r="B26" s="1" t="s">
        <v>118</v>
      </c>
      <c r="C26" s="43">
        <v>51.0</v>
      </c>
      <c r="D26" s="82">
        <v>77.0</v>
      </c>
      <c r="E26" s="84">
        <v>205.0</v>
      </c>
    </row>
    <row r="27" ht="15.75" customHeight="1" collapsed="1">
      <c r="A27" s="79"/>
      <c r="B27" s="74" t="s">
        <v>128</v>
      </c>
      <c r="C27" s="80">
        <f t="shared" ref="C27:E27" si="2">SUM(C19:C26)</f>
        <v>8744</v>
      </c>
      <c r="D27" s="80">
        <f t="shared" si="2"/>
        <v>3547</v>
      </c>
      <c r="E27" s="81">
        <f t="shared" si="2"/>
        <v>6311</v>
      </c>
    </row>
    <row r="28" ht="15.75" customHeight="1">
      <c r="A28" s="86" t="s">
        <v>129</v>
      </c>
      <c r="B28" s="3"/>
      <c r="C28" s="87">
        <f t="shared" ref="C28:E28" si="3">C17+C27</f>
        <v>21927</v>
      </c>
      <c r="D28" s="87">
        <f t="shared" si="3"/>
        <v>24325</v>
      </c>
      <c r="E28" s="88">
        <f t="shared" si="3"/>
        <v>35851</v>
      </c>
    </row>
    <row r="29" ht="15.75" customHeight="1">
      <c r="A29" s="89" t="s">
        <v>41</v>
      </c>
      <c r="B29" s="90"/>
      <c r="C29" s="91"/>
      <c r="D29" s="91">
        <f t="shared" ref="D29:E29" si="4">(D28/C28-1)*100</f>
        <v>10.93628859</v>
      </c>
      <c r="E29" s="92">
        <f t="shared" si="4"/>
        <v>47.38335046</v>
      </c>
    </row>
    <row r="30" ht="15.75" customHeight="1">
      <c r="A30" s="93" t="s">
        <v>130</v>
      </c>
      <c r="B30" s="94"/>
      <c r="C30" s="94"/>
      <c r="D30" s="94"/>
      <c r="E30" s="95"/>
    </row>
    <row r="31" ht="15.75" customHeight="1">
      <c r="A31" s="72" t="s">
        <v>131</v>
      </c>
      <c r="B31" s="73" t="s">
        <v>132</v>
      </c>
      <c r="C31" s="96"/>
      <c r="D31" s="96"/>
      <c r="E31" s="97"/>
    </row>
    <row r="32" ht="15.75" hidden="1" customHeight="1" outlineLevel="1">
      <c r="A32" s="76" t="s">
        <v>97</v>
      </c>
      <c r="B32" s="1" t="s">
        <v>133</v>
      </c>
      <c r="C32" s="98">
        <v>836.0</v>
      </c>
      <c r="D32" s="82">
        <v>868.0</v>
      </c>
      <c r="E32" s="84">
        <v>907.0</v>
      </c>
    </row>
    <row r="33" ht="15.75" hidden="1" customHeight="1" outlineLevel="1">
      <c r="A33" s="76" t="s">
        <v>99</v>
      </c>
      <c r="B33" s="1" t="s">
        <v>134</v>
      </c>
      <c r="C33" s="34">
        <v>19970.0</v>
      </c>
      <c r="D33" s="85">
        <v>21907.0</v>
      </c>
      <c r="E33" s="83">
        <v>33208.0</v>
      </c>
    </row>
    <row r="34" ht="15.75" customHeight="1" collapsed="1">
      <c r="A34" s="79"/>
      <c r="B34" s="74" t="s">
        <v>135</v>
      </c>
      <c r="C34" s="99">
        <f t="shared" ref="C34:E34" si="5">SUM(C32:C33)</f>
        <v>20806</v>
      </c>
      <c r="D34" s="99">
        <f t="shared" si="5"/>
        <v>22775</v>
      </c>
      <c r="E34" s="100">
        <f t="shared" si="5"/>
        <v>34115</v>
      </c>
    </row>
    <row r="35" ht="15.75" customHeight="1">
      <c r="A35" s="72" t="s">
        <v>136</v>
      </c>
      <c r="B35" s="73" t="s">
        <v>137</v>
      </c>
      <c r="C35" s="96"/>
      <c r="D35" s="96"/>
      <c r="E35" s="97"/>
    </row>
    <row r="36" ht="15.75" hidden="1" customHeight="1" outlineLevel="1">
      <c r="A36" s="76" t="s">
        <v>97</v>
      </c>
      <c r="B36" s="1" t="s">
        <v>138</v>
      </c>
      <c r="C36" s="1"/>
      <c r="D36" s="1"/>
      <c r="E36" s="78"/>
    </row>
    <row r="37" ht="15.75" hidden="1" customHeight="1" outlineLevel="1">
      <c r="A37" s="76" t="s">
        <v>109</v>
      </c>
      <c r="B37" s="1" t="s">
        <v>139</v>
      </c>
      <c r="C37" s="98">
        <v>126.0</v>
      </c>
      <c r="D37" s="82">
        <v>107.0</v>
      </c>
      <c r="E37" s="84">
        <v>95.0</v>
      </c>
    </row>
    <row r="38" ht="15.75" hidden="1" customHeight="1" outlineLevel="1">
      <c r="A38" s="76" t="s">
        <v>99</v>
      </c>
      <c r="B38" s="1" t="s">
        <v>140</v>
      </c>
      <c r="C38" s="98">
        <v>57.0</v>
      </c>
      <c r="D38" s="82">
        <v>49.0</v>
      </c>
      <c r="E38" s="84">
        <v>62.0</v>
      </c>
    </row>
    <row r="39" ht="15.75" hidden="1" customHeight="1" outlineLevel="1">
      <c r="A39" s="76" t="s">
        <v>101</v>
      </c>
      <c r="B39" s="1" t="s">
        <v>141</v>
      </c>
      <c r="C39" s="43">
        <v>0.0</v>
      </c>
      <c r="D39" s="43">
        <v>0.0</v>
      </c>
      <c r="E39" s="84">
        <v>47.0</v>
      </c>
    </row>
    <row r="40" ht="15.75" customHeight="1" collapsed="1">
      <c r="A40" s="79"/>
      <c r="B40" s="74" t="s">
        <v>142</v>
      </c>
      <c r="C40" s="99">
        <f t="shared" ref="C40:E40" si="6">SUM(C37:C39)</f>
        <v>183</v>
      </c>
      <c r="D40" s="99">
        <f t="shared" si="6"/>
        <v>156</v>
      </c>
      <c r="E40" s="100">
        <f t="shared" si="6"/>
        <v>204</v>
      </c>
    </row>
    <row r="41" ht="15.75" customHeight="1">
      <c r="A41" s="72" t="s">
        <v>143</v>
      </c>
      <c r="B41" s="73" t="s">
        <v>144</v>
      </c>
      <c r="C41" s="96"/>
      <c r="D41" s="96"/>
      <c r="E41" s="97"/>
    </row>
    <row r="42" ht="15.75" hidden="1" customHeight="1" outlineLevel="1">
      <c r="A42" s="76" t="s">
        <v>97</v>
      </c>
      <c r="B42" s="1" t="s">
        <v>138</v>
      </c>
      <c r="C42" s="1"/>
      <c r="D42" s="1"/>
      <c r="E42" s="78"/>
    </row>
    <row r="43" ht="15.75" hidden="1" customHeight="1" outlineLevel="1">
      <c r="A43" s="76" t="s">
        <v>109</v>
      </c>
      <c r="B43" s="1" t="s">
        <v>139</v>
      </c>
      <c r="C43" s="98">
        <v>31.0</v>
      </c>
      <c r="D43" s="82">
        <v>42.0</v>
      </c>
      <c r="E43" s="84">
        <v>78.0</v>
      </c>
    </row>
    <row r="44" ht="15.75" hidden="1" customHeight="1" outlineLevel="1">
      <c r="A44" s="76" t="s">
        <v>111</v>
      </c>
      <c r="B44" s="1" t="s">
        <v>145</v>
      </c>
      <c r="C44" s="1"/>
      <c r="D44" s="1"/>
      <c r="E44" s="78"/>
    </row>
    <row r="45" ht="15.75" hidden="1" customHeight="1" outlineLevel="1">
      <c r="A45" s="101" t="s">
        <v>146</v>
      </c>
      <c r="B45" s="96" t="s">
        <v>147</v>
      </c>
      <c r="C45" s="98">
        <v>3.0</v>
      </c>
      <c r="D45" s="82">
        <v>5.0</v>
      </c>
      <c r="E45" s="84">
        <v>7.0</v>
      </c>
    </row>
    <row r="46" ht="15.75" hidden="1" customHeight="1" outlineLevel="1">
      <c r="A46" s="101" t="s">
        <v>148</v>
      </c>
      <c r="B46" s="96" t="s">
        <v>149</v>
      </c>
      <c r="C46" s="98">
        <v>363.0</v>
      </c>
      <c r="D46" s="82">
        <v>476.0</v>
      </c>
      <c r="E46" s="84">
        <v>522.0</v>
      </c>
    </row>
    <row r="47" ht="15.75" hidden="1" customHeight="1" outlineLevel="1">
      <c r="A47" s="76" t="s">
        <v>113</v>
      </c>
      <c r="B47" s="1" t="s">
        <v>150</v>
      </c>
      <c r="C47" s="98">
        <v>289.0</v>
      </c>
      <c r="D47" s="82">
        <v>547.0</v>
      </c>
      <c r="E47" s="84">
        <v>609.0</v>
      </c>
    </row>
    <row r="48" ht="15.75" hidden="1" customHeight="1" outlineLevel="1">
      <c r="A48" s="76" t="s">
        <v>99</v>
      </c>
      <c r="B48" s="1" t="s">
        <v>140</v>
      </c>
      <c r="C48" s="98">
        <v>22.0</v>
      </c>
      <c r="D48" s="82">
        <v>304.0</v>
      </c>
      <c r="E48" s="84">
        <v>298.0</v>
      </c>
    </row>
    <row r="49" ht="15.75" hidden="1" customHeight="1" outlineLevel="1">
      <c r="A49" s="76" t="s">
        <v>101</v>
      </c>
      <c r="B49" s="1" t="s">
        <v>151</v>
      </c>
      <c r="C49" s="98">
        <v>230.0</v>
      </c>
      <c r="D49" s="82">
        <v>20.0</v>
      </c>
      <c r="E49" s="84">
        <v>18.0</v>
      </c>
    </row>
    <row r="50" ht="15.75" customHeight="1" collapsed="1">
      <c r="A50" s="102"/>
      <c r="B50" s="74" t="s">
        <v>152</v>
      </c>
      <c r="C50" s="99">
        <f t="shared" ref="C50:E50" si="7">SUM(C43:C49)</f>
        <v>938</v>
      </c>
      <c r="D50" s="99">
        <f t="shared" si="7"/>
        <v>1394</v>
      </c>
      <c r="E50" s="100">
        <f t="shared" si="7"/>
        <v>1532</v>
      </c>
    </row>
    <row r="51" ht="15.75" customHeight="1">
      <c r="A51" s="102"/>
      <c r="B51" s="74" t="s">
        <v>153</v>
      </c>
      <c r="C51" s="99">
        <f t="shared" ref="C51:E51" si="8">C40+C50</f>
        <v>1121</v>
      </c>
      <c r="D51" s="99">
        <f t="shared" si="8"/>
        <v>1550</v>
      </c>
      <c r="E51" s="100">
        <f t="shared" si="8"/>
        <v>1736</v>
      </c>
    </row>
    <row r="52" ht="15.75" customHeight="1">
      <c r="A52" s="103" t="s">
        <v>154</v>
      </c>
      <c r="B52" s="104"/>
      <c r="C52" s="105">
        <f t="shared" ref="C52:E52" si="9">C34+C51</f>
        <v>21927</v>
      </c>
      <c r="D52" s="105">
        <f t="shared" si="9"/>
        <v>24325</v>
      </c>
      <c r="E52" s="106">
        <f t="shared" si="9"/>
        <v>35851</v>
      </c>
    </row>
    <row r="53" ht="15.75" customHeight="1">
      <c r="A53" s="107" t="s">
        <v>41</v>
      </c>
      <c r="B53" s="108"/>
      <c r="C53" s="109"/>
      <c r="D53" s="110">
        <f t="shared" ref="D53:E53" si="10">(D52/C52-1)*100</f>
        <v>10.93628859</v>
      </c>
      <c r="E53" s="111">
        <f t="shared" si="10"/>
        <v>47.38335046</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E1"/>
    <mergeCell ref="D2:E2"/>
    <mergeCell ref="A4:E4"/>
    <mergeCell ref="A28:B28"/>
    <mergeCell ref="A29:B29"/>
    <mergeCell ref="A30:E30"/>
    <mergeCell ref="A52:B52"/>
    <mergeCell ref="A53:B5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outlineLevelRow="1"/>
  <cols>
    <col customWidth="1" min="1" max="1" width="56.67"/>
    <col customWidth="1" min="2" max="4" width="20.67"/>
    <col customWidth="1" min="5" max="8" width="10.78"/>
    <col customWidth="1" min="9" max="26" width="10.56"/>
  </cols>
  <sheetData>
    <row r="1" ht="49.5" customHeight="1">
      <c r="A1" s="60" t="s">
        <v>155</v>
      </c>
      <c r="B1" s="10"/>
      <c r="C1" s="10"/>
      <c r="D1" s="11"/>
      <c r="E1" s="112"/>
      <c r="F1" s="112"/>
      <c r="G1" s="112"/>
      <c r="H1" s="112"/>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24.75" customHeight="1">
      <c r="A3" s="113" t="s">
        <v>20</v>
      </c>
      <c r="B3" s="114" t="s">
        <v>21</v>
      </c>
      <c r="C3" s="114" t="s">
        <v>22</v>
      </c>
      <c r="D3" s="115" t="s">
        <v>23</v>
      </c>
      <c r="E3" s="116"/>
      <c r="F3" s="116"/>
      <c r="G3" s="116"/>
      <c r="H3" s="116"/>
      <c r="I3" s="116"/>
      <c r="J3" s="116"/>
      <c r="K3" s="116"/>
      <c r="L3" s="116"/>
      <c r="M3" s="116"/>
      <c r="N3" s="116"/>
      <c r="O3" s="116"/>
      <c r="P3" s="116"/>
      <c r="Q3" s="116"/>
      <c r="R3" s="116"/>
      <c r="S3" s="116"/>
      <c r="T3" s="116"/>
      <c r="U3" s="116"/>
      <c r="V3" s="116"/>
      <c r="W3" s="116"/>
      <c r="X3" s="116"/>
      <c r="Y3" s="116"/>
      <c r="Z3" s="116"/>
    </row>
    <row r="4" ht="15.75" customHeight="1">
      <c r="A4" s="42" t="s">
        <v>156</v>
      </c>
      <c r="B4" s="12">
        <v>1.18E9</v>
      </c>
      <c r="C4" s="12">
        <v>1.371E10</v>
      </c>
      <c r="D4" s="27">
        <v>1.96E10</v>
      </c>
      <c r="E4" s="1"/>
      <c r="F4" s="1"/>
      <c r="G4" s="1"/>
      <c r="H4" s="1"/>
      <c r="I4" s="1"/>
      <c r="J4" s="1"/>
      <c r="K4" s="1"/>
      <c r="L4" s="1"/>
      <c r="M4" s="1"/>
      <c r="N4" s="1"/>
      <c r="O4" s="1"/>
      <c r="P4" s="1"/>
      <c r="Q4" s="1"/>
      <c r="R4" s="1"/>
      <c r="S4" s="1"/>
      <c r="T4" s="1"/>
      <c r="U4" s="1"/>
      <c r="V4" s="1"/>
      <c r="W4" s="1"/>
      <c r="X4" s="1"/>
      <c r="Y4" s="1"/>
      <c r="Z4" s="1"/>
    </row>
    <row r="5" ht="15.75" customHeight="1">
      <c r="A5" s="42" t="s">
        <v>157</v>
      </c>
      <c r="B5" s="12">
        <v>8.664234819E9</v>
      </c>
      <c r="C5" s="12">
        <v>8.75524683E9</v>
      </c>
      <c r="D5" s="27">
        <v>9.135875433E9</v>
      </c>
      <c r="E5" s="1"/>
      <c r="F5" s="1"/>
      <c r="G5" s="1"/>
      <c r="H5" s="1"/>
      <c r="I5" s="1"/>
      <c r="J5" s="1"/>
      <c r="K5" s="1"/>
      <c r="L5" s="1"/>
      <c r="M5" s="1"/>
      <c r="N5" s="1"/>
      <c r="O5" s="1"/>
      <c r="P5" s="1"/>
      <c r="Q5" s="1"/>
      <c r="R5" s="1"/>
      <c r="S5" s="1"/>
      <c r="T5" s="1"/>
      <c r="U5" s="1"/>
      <c r="V5" s="1"/>
      <c r="W5" s="1"/>
      <c r="X5" s="1"/>
      <c r="Y5" s="1"/>
      <c r="Z5" s="1"/>
    </row>
    <row r="6" ht="15.75" customHeight="1">
      <c r="A6" s="117" t="s">
        <v>158</v>
      </c>
      <c r="B6" s="118">
        <f t="shared" ref="B6:D6" si="1">B4/B5</f>
        <v>0.1361920613</v>
      </c>
      <c r="C6" s="118">
        <f t="shared" si="1"/>
        <v>1.565918159</v>
      </c>
      <c r="D6" s="119">
        <f t="shared" si="1"/>
        <v>2.145388271</v>
      </c>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49.5" customHeight="1">
      <c r="A8" s="60" t="s">
        <v>159</v>
      </c>
      <c r="B8" s="10"/>
      <c r="C8" s="10"/>
      <c r="D8" s="11"/>
      <c r="E8" s="1"/>
      <c r="F8" s="1"/>
      <c r="G8" s="1"/>
      <c r="H8" s="1"/>
      <c r="I8" s="1"/>
      <c r="J8" s="1"/>
      <c r="K8" s="1"/>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24.75" customHeight="1">
      <c r="A10" s="113" t="s">
        <v>20</v>
      </c>
      <c r="B10" s="114" t="s">
        <v>21</v>
      </c>
      <c r="C10" s="114" t="s">
        <v>22</v>
      </c>
      <c r="D10" s="115" t="s">
        <v>23</v>
      </c>
      <c r="E10" s="1"/>
      <c r="F10" s="1"/>
      <c r="G10" s="1"/>
      <c r="H10" s="1"/>
      <c r="I10" s="1"/>
      <c r="J10" s="1"/>
      <c r="K10" s="1"/>
      <c r="L10" s="1"/>
      <c r="M10" s="1"/>
      <c r="N10" s="1"/>
      <c r="O10" s="1"/>
      <c r="P10" s="1"/>
      <c r="Q10" s="1"/>
      <c r="R10" s="1"/>
      <c r="S10" s="1"/>
      <c r="T10" s="1"/>
      <c r="U10" s="1"/>
      <c r="V10" s="1"/>
      <c r="W10" s="1"/>
      <c r="X10" s="1"/>
      <c r="Y10" s="1"/>
      <c r="Z10" s="1"/>
    </row>
    <row r="11" ht="15.75" customHeight="1">
      <c r="A11" s="42" t="s">
        <v>160</v>
      </c>
      <c r="B11" s="12">
        <v>4.707E10</v>
      </c>
      <c r="C11" s="12">
        <v>6.622E10</v>
      </c>
      <c r="D11" s="27">
        <v>8.617E10</v>
      </c>
      <c r="E11" s="1"/>
      <c r="F11" s="1"/>
      <c r="G11" s="1"/>
      <c r="H11" s="1"/>
      <c r="I11" s="1"/>
      <c r="J11" s="1"/>
      <c r="K11" s="1"/>
      <c r="L11" s="1"/>
      <c r="M11" s="1"/>
      <c r="N11" s="1"/>
      <c r="O11" s="1"/>
      <c r="P11" s="1"/>
      <c r="Q11" s="1"/>
      <c r="R11" s="1"/>
      <c r="S11" s="1"/>
      <c r="T11" s="1"/>
      <c r="U11" s="1"/>
      <c r="V11" s="1"/>
      <c r="W11" s="1"/>
      <c r="X11" s="1"/>
      <c r="Y11" s="1"/>
      <c r="Z11" s="1"/>
    </row>
    <row r="12" ht="15.75" customHeight="1">
      <c r="A12" s="42" t="s">
        <v>161</v>
      </c>
      <c r="B12" s="12">
        <v>8.664234819E9</v>
      </c>
      <c r="C12" s="12">
        <v>8.75524683E9</v>
      </c>
      <c r="D12" s="27">
        <v>9.135875433E9</v>
      </c>
      <c r="E12" s="1"/>
      <c r="F12" s="1"/>
      <c r="G12" s="1"/>
      <c r="H12" s="1"/>
      <c r="I12" s="1"/>
      <c r="J12" s="1"/>
      <c r="K12" s="1"/>
      <c r="L12" s="1"/>
      <c r="M12" s="1"/>
      <c r="N12" s="1"/>
      <c r="O12" s="1"/>
      <c r="P12" s="1"/>
      <c r="Q12" s="1"/>
      <c r="R12" s="1"/>
      <c r="S12" s="1"/>
      <c r="T12" s="1"/>
      <c r="U12" s="1"/>
      <c r="V12" s="1"/>
      <c r="W12" s="1"/>
      <c r="X12" s="1"/>
      <c r="Y12" s="1"/>
      <c r="Z12" s="1"/>
    </row>
    <row r="13" ht="15.75" customHeight="1">
      <c r="A13" s="117" t="s">
        <v>162</v>
      </c>
      <c r="B13" s="118">
        <f t="shared" ref="B13:D13" si="2">B11/B12</f>
        <v>5.432678244</v>
      </c>
      <c r="C13" s="118">
        <f t="shared" si="2"/>
        <v>7.563464661</v>
      </c>
      <c r="D13" s="119">
        <f t="shared" si="2"/>
        <v>9.432046292</v>
      </c>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49.5" customHeight="1">
      <c r="A15" s="60" t="s">
        <v>163</v>
      </c>
      <c r="B15" s="10"/>
      <c r="C15" s="10"/>
      <c r="D15" s="1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24.75" customHeight="1">
      <c r="A17" s="113" t="s">
        <v>20</v>
      </c>
      <c r="B17" s="114" t="s">
        <v>21</v>
      </c>
      <c r="C17" s="114" t="s">
        <v>22</v>
      </c>
      <c r="D17" s="115" t="s">
        <v>23</v>
      </c>
      <c r="E17" s="1"/>
      <c r="F17" s="1"/>
      <c r="G17" s="1"/>
      <c r="H17" s="1"/>
      <c r="I17" s="1"/>
      <c r="J17" s="1"/>
      <c r="K17" s="1"/>
      <c r="L17" s="1"/>
      <c r="M17" s="1"/>
      <c r="N17" s="1"/>
      <c r="O17" s="1"/>
      <c r="P17" s="1"/>
      <c r="Q17" s="1"/>
      <c r="R17" s="1"/>
      <c r="S17" s="1"/>
      <c r="T17" s="1"/>
      <c r="U17" s="1"/>
      <c r="V17" s="1"/>
      <c r="W17" s="1"/>
      <c r="X17" s="1"/>
      <c r="Y17" s="1"/>
      <c r="Z17" s="1"/>
    </row>
    <row r="18" ht="15.75" customHeight="1">
      <c r="A18" s="42" t="s">
        <v>164</v>
      </c>
      <c r="B18" s="12">
        <v>51.0</v>
      </c>
      <c r="C18" s="12">
        <v>182.1</v>
      </c>
      <c r="D18" s="27">
        <v>210.53</v>
      </c>
      <c r="E18" s="1"/>
      <c r="F18" s="1"/>
      <c r="G18" s="1"/>
      <c r="H18" s="1"/>
      <c r="I18" s="1"/>
      <c r="J18" s="1"/>
      <c r="K18" s="1"/>
      <c r="L18" s="1"/>
      <c r="M18" s="1"/>
      <c r="N18" s="1"/>
      <c r="O18" s="1"/>
      <c r="P18" s="1"/>
      <c r="Q18" s="1"/>
      <c r="R18" s="1"/>
      <c r="S18" s="1"/>
      <c r="T18" s="1"/>
      <c r="U18" s="1"/>
      <c r="V18" s="1"/>
      <c r="W18" s="1"/>
      <c r="X18" s="1"/>
      <c r="Y18" s="1"/>
      <c r="Z18" s="1"/>
    </row>
    <row r="19" ht="15.75" customHeight="1">
      <c r="A19" s="42" t="s">
        <v>165</v>
      </c>
      <c r="B19" s="12">
        <v>8.363975413E9</v>
      </c>
      <c r="C19" s="12">
        <v>8.680255038E9</v>
      </c>
      <c r="D19" s="27">
        <v>9.072885639E9</v>
      </c>
      <c r="E19" s="1"/>
      <c r="F19" s="1"/>
      <c r="G19" s="1"/>
      <c r="H19" s="1"/>
      <c r="I19" s="1"/>
      <c r="J19" s="1"/>
      <c r="K19" s="1"/>
      <c r="L19" s="1"/>
      <c r="M19" s="1"/>
      <c r="N19" s="1"/>
      <c r="O19" s="1"/>
      <c r="P19" s="1"/>
      <c r="Q19" s="1"/>
      <c r="R19" s="1"/>
      <c r="S19" s="1"/>
      <c r="T19" s="1"/>
      <c r="U19" s="1"/>
      <c r="V19" s="1"/>
      <c r="W19" s="1"/>
      <c r="X19" s="1"/>
      <c r="Y19" s="1"/>
      <c r="Z19" s="1"/>
    </row>
    <row r="20" ht="15.75" customHeight="1">
      <c r="A20" s="117" t="s">
        <v>166</v>
      </c>
      <c r="B20" s="118">
        <f t="shared" ref="B20:D20" si="3">B18*B19</f>
        <v>426562746063</v>
      </c>
      <c r="C20" s="118">
        <f t="shared" si="3"/>
        <v>1580674442420</v>
      </c>
      <c r="D20" s="119">
        <f t="shared" si="3"/>
        <v>1910114613579</v>
      </c>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49.5" customHeight="1">
      <c r="A22" s="60" t="s">
        <v>167</v>
      </c>
      <c r="B22" s="10"/>
      <c r="C22" s="10"/>
      <c r="D22" s="1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20" t="s">
        <v>19</v>
      </c>
      <c r="E23" s="1"/>
      <c r="F23" s="1"/>
      <c r="G23" s="1"/>
      <c r="H23" s="1"/>
      <c r="I23" s="1"/>
      <c r="J23" s="1"/>
      <c r="K23" s="1"/>
      <c r="L23" s="1"/>
      <c r="M23" s="1"/>
      <c r="N23" s="1"/>
      <c r="O23" s="1"/>
      <c r="P23" s="1"/>
      <c r="Q23" s="1"/>
      <c r="R23" s="1"/>
      <c r="S23" s="1"/>
      <c r="T23" s="1"/>
      <c r="U23" s="1"/>
      <c r="V23" s="1"/>
      <c r="W23" s="1"/>
      <c r="X23" s="1"/>
      <c r="Y23" s="1"/>
      <c r="Z23" s="1"/>
    </row>
    <row r="24" ht="24.75" customHeight="1">
      <c r="A24" s="113" t="s">
        <v>20</v>
      </c>
      <c r="B24" s="114" t="s">
        <v>21</v>
      </c>
      <c r="C24" s="114" t="s">
        <v>22</v>
      </c>
      <c r="D24" s="115" t="s">
        <v>23</v>
      </c>
      <c r="E24" s="116"/>
      <c r="F24" s="116"/>
      <c r="G24" s="116"/>
      <c r="H24" s="116"/>
      <c r="I24" s="116"/>
      <c r="J24" s="116"/>
      <c r="K24" s="116"/>
      <c r="L24" s="116"/>
      <c r="M24" s="116"/>
      <c r="N24" s="116"/>
      <c r="O24" s="116"/>
      <c r="P24" s="116"/>
      <c r="Q24" s="116"/>
      <c r="R24" s="116"/>
      <c r="S24" s="116"/>
      <c r="T24" s="116"/>
      <c r="U24" s="116"/>
      <c r="V24" s="116"/>
      <c r="W24" s="116"/>
      <c r="X24" s="116"/>
      <c r="Y24" s="116"/>
      <c r="Z24" s="116"/>
    </row>
    <row r="25" ht="15.75" customHeight="1">
      <c r="A25" s="42" t="s">
        <v>168</v>
      </c>
      <c r="B25" s="12">
        <v>42656.0</v>
      </c>
      <c r="C25" s="12">
        <v>158067.0</v>
      </c>
      <c r="D25" s="27">
        <v>191011.0</v>
      </c>
      <c r="E25" s="1"/>
      <c r="F25" s="1"/>
      <c r="G25" s="1"/>
      <c r="H25" s="1"/>
      <c r="I25" s="1"/>
      <c r="J25" s="1"/>
      <c r="K25" s="1"/>
      <c r="L25" s="1"/>
      <c r="M25" s="1"/>
      <c r="N25" s="1"/>
      <c r="O25" s="1"/>
      <c r="P25" s="1"/>
      <c r="Q25" s="1"/>
      <c r="R25" s="1"/>
      <c r="S25" s="1"/>
      <c r="T25" s="1"/>
      <c r="U25" s="1"/>
      <c r="V25" s="1"/>
      <c r="W25" s="1"/>
      <c r="X25" s="1"/>
      <c r="Y25" s="1"/>
      <c r="Z25" s="1"/>
    </row>
    <row r="26" ht="15.75" hidden="1" customHeight="1" outlineLevel="1">
      <c r="A26" s="42" t="s">
        <v>169</v>
      </c>
      <c r="B26" s="12">
        <f>'ETERNAL BALANCE SHEET'!C37</f>
        <v>126</v>
      </c>
      <c r="C26" s="12">
        <f>'ETERNAL BALANCE SHEET'!D37</f>
        <v>107</v>
      </c>
      <c r="D26" s="27">
        <f>'ETERNAL BALANCE SHEET'!E37</f>
        <v>95</v>
      </c>
      <c r="E26" s="1"/>
      <c r="F26" s="1"/>
      <c r="G26" s="1"/>
      <c r="H26" s="1"/>
      <c r="I26" s="1"/>
      <c r="J26" s="1"/>
      <c r="K26" s="1"/>
      <c r="L26" s="1"/>
      <c r="M26" s="1"/>
      <c r="N26" s="1"/>
      <c r="O26" s="1"/>
      <c r="P26" s="1"/>
      <c r="Q26" s="1"/>
      <c r="R26" s="1"/>
      <c r="S26" s="1"/>
      <c r="T26" s="1"/>
      <c r="U26" s="1"/>
      <c r="V26" s="1"/>
      <c r="W26" s="1"/>
      <c r="X26" s="1"/>
      <c r="Y26" s="1"/>
      <c r="Z26" s="1"/>
    </row>
    <row r="27" ht="15.75" hidden="1" customHeight="1" outlineLevel="1">
      <c r="A27" s="42" t="s">
        <v>170</v>
      </c>
      <c r="B27" s="12">
        <f>'ETERNAL BALANCE SHEET'!C43</f>
        <v>31</v>
      </c>
      <c r="C27" s="12">
        <f>'ETERNAL BALANCE SHEET'!D43</f>
        <v>42</v>
      </c>
      <c r="D27" s="27">
        <f>'ETERNAL BALANCE SHEET'!E43</f>
        <v>78</v>
      </c>
      <c r="E27" s="1"/>
      <c r="F27" s="1"/>
      <c r="G27" s="1"/>
      <c r="H27" s="1"/>
      <c r="I27" s="1"/>
      <c r="J27" s="1"/>
      <c r="K27" s="1"/>
      <c r="L27" s="1"/>
      <c r="M27" s="1"/>
      <c r="N27" s="1"/>
      <c r="O27" s="1"/>
      <c r="P27" s="1"/>
      <c r="Q27" s="1"/>
      <c r="R27" s="1"/>
      <c r="S27" s="1"/>
      <c r="T27" s="1"/>
      <c r="U27" s="1"/>
      <c r="V27" s="1"/>
      <c r="W27" s="1"/>
      <c r="X27" s="1"/>
      <c r="Y27" s="1"/>
      <c r="Z27" s="1"/>
    </row>
    <row r="28" ht="15.75" customHeight="1" collapsed="1">
      <c r="A28" s="42" t="s">
        <v>171</v>
      </c>
      <c r="B28" s="12">
        <f t="shared" ref="B28:D28" si="4">SUM(B26:B27)</f>
        <v>157</v>
      </c>
      <c r="C28" s="12">
        <f t="shared" si="4"/>
        <v>149</v>
      </c>
      <c r="D28" s="27">
        <f t="shared" si="4"/>
        <v>173</v>
      </c>
      <c r="E28" s="1"/>
      <c r="F28" s="1"/>
      <c r="G28" s="1"/>
      <c r="H28" s="1"/>
      <c r="I28" s="1"/>
      <c r="J28" s="1"/>
      <c r="K28" s="1"/>
      <c r="L28" s="1"/>
      <c r="M28" s="1"/>
      <c r="N28" s="1"/>
      <c r="O28" s="1"/>
      <c r="P28" s="1"/>
      <c r="Q28" s="1"/>
      <c r="R28" s="1"/>
      <c r="S28" s="1"/>
      <c r="T28" s="1"/>
      <c r="U28" s="1"/>
      <c r="V28" s="1"/>
      <c r="W28" s="1"/>
      <c r="X28" s="1"/>
      <c r="Y28" s="1"/>
      <c r="Z28" s="1"/>
    </row>
    <row r="29" ht="15.75" customHeight="1">
      <c r="A29" s="42" t="s">
        <v>124</v>
      </c>
      <c r="B29" s="12">
        <f>'ETERNAL BALANCE SHEET'!C23</f>
        <v>123</v>
      </c>
      <c r="C29" s="12">
        <f>'ETERNAL BALANCE SHEET'!D23</f>
        <v>181</v>
      </c>
      <c r="D29" s="27">
        <f>'ETERNAL BALANCE SHEET'!E23</f>
        <v>431</v>
      </c>
      <c r="E29" s="1"/>
      <c r="F29" s="1"/>
      <c r="G29" s="1"/>
      <c r="H29" s="1"/>
      <c r="I29" s="1"/>
      <c r="J29" s="1"/>
      <c r="K29" s="1"/>
      <c r="L29" s="1"/>
      <c r="M29" s="1"/>
      <c r="N29" s="1"/>
      <c r="O29" s="1"/>
      <c r="P29" s="1"/>
      <c r="Q29" s="1"/>
      <c r="R29" s="1"/>
      <c r="S29" s="1"/>
      <c r="T29" s="1"/>
      <c r="U29" s="1"/>
      <c r="V29" s="1"/>
      <c r="W29" s="1"/>
      <c r="X29" s="1"/>
      <c r="Y29" s="1"/>
      <c r="Z29" s="1"/>
    </row>
    <row r="30" ht="15.75" customHeight="1">
      <c r="A30" s="117" t="s">
        <v>172</v>
      </c>
      <c r="B30" s="118">
        <f t="shared" ref="B30:D30" si="5">(B25+B28)-B29</f>
        <v>42690</v>
      </c>
      <c r="C30" s="118">
        <f t="shared" si="5"/>
        <v>158035</v>
      </c>
      <c r="D30" s="119">
        <f t="shared" si="5"/>
        <v>190753</v>
      </c>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A1:D1"/>
    <mergeCell ref="A8:D8"/>
    <mergeCell ref="A15:D15"/>
    <mergeCell ref="A22:D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1.22" defaultRowHeight="15.0"/>
  <cols>
    <col customWidth="1" min="1" max="1" width="36.0"/>
    <col customWidth="1" min="2" max="2" width="42.33"/>
    <col customWidth="1" min="3" max="5" width="9.11"/>
    <col customWidth="1" min="6" max="6" width="10.78"/>
    <col customWidth="1" min="7" max="26" width="10.56"/>
  </cols>
  <sheetData>
    <row r="1" ht="49.5" customHeight="1">
      <c r="A1" s="121" t="s">
        <v>173</v>
      </c>
      <c r="B1" s="7"/>
      <c r="C1" s="7"/>
      <c r="D1" s="7"/>
      <c r="E1" s="3"/>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24.75" customHeight="1">
      <c r="A3" s="122" t="s">
        <v>174</v>
      </c>
      <c r="B3" s="123" t="s">
        <v>175</v>
      </c>
      <c r="C3" s="124" t="s">
        <v>21</v>
      </c>
      <c r="D3" s="125" t="s">
        <v>22</v>
      </c>
      <c r="E3" s="126" t="s">
        <v>23</v>
      </c>
      <c r="F3" s="1"/>
      <c r="G3" s="1"/>
      <c r="H3" s="1"/>
      <c r="I3" s="1"/>
      <c r="J3" s="1"/>
      <c r="K3" s="1"/>
      <c r="L3" s="1"/>
      <c r="M3" s="1"/>
      <c r="N3" s="1"/>
      <c r="O3" s="1"/>
      <c r="P3" s="1"/>
      <c r="Q3" s="1"/>
      <c r="R3" s="1"/>
      <c r="S3" s="1"/>
      <c r="T3" s="1"/>
      <c r="U3" s="1"/>
      <c r="V3" s="1"/>
      <c r="W3" s="1"/>
      <c r="X3" s="1"/>
      <c r="Y3" s="1"/>
      <c r="Z3" s="1"/>
    </row>
    <row r="4" ht="15.75" customHeight="1">
      <c r="A4" s="127" t="s">
        <v>1</v>
      </c>
      <c r="B4" s="128"/>
      <c r="C4" s="128"/>
      <c r="D4" s="128"/>
      <c r="E4" s="129"/>
      <c r="F4" s="1"/>
      <c r="G4" s="1"/>
      <c r="H4" s="1"/>
      <c r="I4" s="1"/>
      <c r="J4" s="1"/>
      <c r="K4" s="1"/>
      <c r="L4" s="1"/>
      <c r="M4" s="1"/>
      <c r="N4" s="1"/>
      <c r="O4" s="1"/>
      <c r="P4" s="1"/>
      <c r="Q4" s="1"/>
      <c r="R4" s="1"/>
      <c r="S4" s="1"/>
      <c r="T4" s="1"/>
      <c r="U4" s="1"/>
      <c r="V4" s="1"/>
      <c r="W4" s="1"/>
      <c r="X4" s="1"/>
      <c r="Y4" s="1"/>
      <c r="Z4" s="1"/>
    </row>
    <row r="5" ht="15.75" customHeight="1">
      <c r="A5" s="130" t="s">
        <v>176</v>
      </c>
      <c r="B5" s="131" t="s">
        <v>177</v>
      </c>
      <c r="C5" s="132">
        <f>'EPS, RPS, MARKET CAP, EV'!B18/'EPS, RPS, MARKET CAP, EV'!B6</f>
        <v>374.4711659</v>
      </c>
      <c r="D5" s="132">
        <f>'EPS, RPS, MARKET CAP, EV'!C18/'EPS, RPS, MARKET CAP, EV'!C6</f>
        <v>116.2896023</v>
      </c>
      <c r="E5" s="133">
        <f>'EPS, RPS, MARKET CAP, EV'!D18/'EPS, RPS, MARKET CAP, EV'!D6</f>
        <v>98.13142117</v>
      </c>
      <c r="F5" s="1"/>
      <c r="G5" s="1"/>
      <c r="H5" s="1"/>
      <c r="I5" s="1"/>
      <c r="J5" s="1"/>
      <c r="K5" s="1"/>
      <c r="L5" s="1"/>
      <c r="M5" s="1"/>
      <c r="N5" s="1"/>
      <c r="O5" s="1"/>
      <c r="P5" s="1"/>
      <c r="Q5" s="1"/>
      <c r="R5" s="1"/>
      <c r="S5" s="1"/>
      <c r="T5" s="1"/>
      <c r="U5" s="1"/>
      <c r="V5" s="1"/>
      <c r="W5" s="1"/>
      <c r="X5" s="1"/>
      <c r="Y5" s="1"/>
      <c r="Z5" s="1"/>
    </row>
    <row r="6" ht="15.75" customHeight="1">
      <c r="A6" s="134" t="s">
        <v>178</v>
      </c>
      <c r="B6" s="135" t="s">
        <v>179</v>
      </c>
      <c r="C6" s="136">
        <f>'EPS, RPS, MARKET CAP, EV'!B18/'EPS, RPS, MARKET CAP, EV'!B13</f>
        <v>9.387634922</v>
      </c>
      <c r="D6" s="136">
        <f>'EPS, RPS, MARKET CAP, EV'!C18/'EPS, RPS, MARKET CAP, EV'!C13</f>
        <v>24.07626771</v>
      </c>
      <c r="E6" s="137">
        <f>'EPS, RPS, MARKET CAP, EV'!D18/'EPS, RPS, MARKET CAP, EV'!D13</f>
        <v>22.32071318</v>
      </c>
      <c r="F6" s="1"/>
      <c r="G6" s="1"/>
      <c r="H6" s="1"/>
      <c r="I6" s="1"/>
      <c r="J6" s="1"/>
      <c r="K6" s="1"/>
      <c r="L6" s="1"/>
      <c r="M6" s="1"/>
      <c r="N6" s="1"/>
      <c r="O6" s="1"/>
      <c r="P6" s="1"/>
      <c r="Q6" s="1"/>
      <c r="R6" s="1"/>
      <c r="S6" s="1"/>
      <c r="T6" s="1"/>
      <c r="U6" s="1"/>
      <c r="V6" s="1"/>
      <c r="W6" s="1"/>
      <c r="X6" s="1"/>
      <c r="Y6" s="1"/>
      <c r="Z6" s="1"/>
    </row>
    <row r="7" ht="15.75" customHeight="1">
      <c r="A7" s="138" t="s">
        <v>2</v>
      </c>
      <c r="B7" s="5"/>
      <c r="C7" s="5"/>
      <c r="D7" s="5"/>
      <c r="E7" s="139"/>
      <c r="F7" s="1"/>
      <c r="G7" s="1"/>
      <c r="H7" s="1"/>
      <c r="I7" s="1"/>
      <c r="J7" s="1"/>
      <c r="K7" s="1"/>
      <c r="L7" s="1"/>
      <c r="M7" s="1"/>
      <c r="N7" s="1"/>
      <c r="O7" s="1"/>
      <c r="P7" s="1"/>
      <c r="Q7" s="1"/>
      <c r="R7" s="1"/>
      <c r="S7" s="1"/>
      <c r="T7" s="1"/>
      <c r="U7" s="1"/>
      <c r="V7" s="1"/>
      <c r="W7" s="1"/>
      <c r="X7" s="1"/>
      <c r="Y7" s="1"/>
      <c r="Z7" s="1"/>
    </row>
    <row r="8" ht="15.75" customHeight="1">
      <c r="A8" s="140" t="s">
        <v>8</v>
      </c>
      <c r="B8" s="141" t="s">
        <v>8</v>
      </c>
      <c r="C8" s="132">
        <f>'EPS, RPS, MARKET CAP, EV'!B30/'ETERNAL P L'!B64</f>
        <v>155.8029197</v>
      </c>
      <c r="D8" s="132">
        <f>'EPS, RPS, MARKET CAP, EV'!C30/'ETERNAL P L'!C64</f>
        <v>105.2163782</v>
      </c>
      <c r="E8" s="142">
        <f>'EPS, RPS, MARKET CAP, EV'!D30/'ETERNAL P L'!D64</f>
        <v>82.43431288</v>
      </c>
      <c r="F8" s="1"/>
      <c r="G8" s="1"/>
      <c r="H8" s="1"/>
      <c r="I8" s="1"/>
      <c r="J8" s="1"/>
      <c r="K8" s="1"/>
      <c r="L8" s="1"/>
      <c r="M8" s="1"/>
      <c r="N8" s="1"/>
      <c r="O8" s="1"/>
      <c r="P8" s="1"/>
      <c r="Q8" s="1"/>
      <c r="R8" s="1"/>
      <c r="S8" s="1"/>
      <c r="T8" s="1"/>
      <c r="U8" s="1"/>
      <c r="V8" s="1"/>
      <c r="W8" s="1"/>
      <c r="X8" s="1"/>
      <c r="Y8" s="1"/>
      <c r="Z8" s="1"/>
    </row>
    <row r="9" ht="15.75" customHeight="1">
      <c r="A9" s="130" t="s">
        <v>13</v>
      </c>
      <c r="B9" s="131" t="s">
        <v>13</v>
      </c>
      <c r="C9" s="132">
        <f>'EPS, RPS, MARKET CAP, EV'!B30/'ETERNAL P L'!B73</f>
        <v>318.5820896</v>
      </c>
      <c r="D9" s="132">
        <f>'EPS, RPS, MARKET CAP, EV'!C30/'ETERNAL P L'!C73</f>
        <v>110.5913226</v>
      </c>
      <c r="E9" s="143">
        <f>'EPS, RPS, MARKET CAP, EV'!D30/'ETERNAL P L'!D73</f>
        <v>86.04104646</v>
      </c>
      <c r="F9" s="1"/>
      <c r="G9" s="1"/>
      <c r="H9" s="1"/>
      <c r="I9" s="1"/>
      <c r="J9" s="1"/>
      <c r="K9" s="1"/>
      <c r="L9" s="1"/>
      <c r="M9" s="1"/>
      <c r="N9" s="1"/>
      <c r="O9" s="1"/>
      <c r="P9" s="1"/>
      <c r="Q9" s="1"/>
      <c r="R9" s="1"/>
      <c r="S9" s="1"/>
      <c r="T9" s="1"/>
      <c r="U9" s="1"/>
      <c r="V9" s="1"/>
      <c r="W9" s="1"/>
      <c r="X9" s="1"/>
      <c r="Y9" s="1"/>
      <c r="Z9" s="1"/>
    </row>
    <row r="10" ht="15.75" customHeight="1">
      <c r="A10" s="144" t="s">
        <v>180</v>
      </c>
      <c r="B10" s="145" t="s">
        <v>180</v>
      </c>
      <c r="C10" s="146">
        <f>'EPS, RPS, MARKET CAP, EV'!B30/'ETERNAL P L'!B10</f>
        <v>9.069471001</v>
      </c>
      <c r="D10" s="146">
        <f>'EPS, RPS, MARKET CAP, EV'!C30/'ETERNAL P L'!C10</f>
        <v>23.86514648</v>
      </c>
      <c r="E10" s="147">
        <f>'EPS, RPS, MARKET CAP, EV'!D30/'ETERNAL P L'!D10</f>
        <v>22.13682256</v>
      </c>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1:E1"/>
    <mergeCell ref="A4:E4"/>
    <mergeCell ref="A7:E7"/>
  </mergeCells>
  <printOptions/>
  <pageMargins bottom="0.75" footer="0.0" header="0.0" left="0.7" right="0.7" top="0.75"/>
  <pageSetup orientation="landscape"/>
  <drawing r:id="rId1"/>
  <extLst>
    <ext uri="{05C60535-1F16-4fd2-B633-F4F36F0B64E0}">
      <x14:sparklineGroups>
        <x14:sparklineGroup displayEmptyCellsAs="gap">
          <x14:colorSeries rgb="FF000000"/>
          <x14:sparklines>
            <x14:sparkline>
              <xm:f>'ETERAL MULTIPLES'!C5:E5</xm:f>
              <xm:sqref>F5</xm:sqref>
            </x14:sparkline>
          </x14:sparklines>
        </x14:sparklineGroup>
        <x14:sparklineGroup displayEmptyCellsAs="gap">
          <x14:colorSeries rgb="FF000000"/>
          <x14:sparklines>
            <x14:sparkline>
              <xm:f>'ETERAL MULTIPLES'!C6:E6</xm:f>
              <xm:sqref>F6</xm:sqref>
            </x14:sparkline>
          </x14:sparklines>
        </x14:sparklineGroup>
        <x14:sparklineGroup displayEmptyCellsAs="gap">
          <x14:colorSeries rgb="FF376092"/>
          <x14:sparklines>
            <x14:sparkline>
              <xm:f>'ETERAL MULTIPLES'!C8:E8</xm:f>
              <xm:sqref>F8</xm:sqref>
            </x14:sparkline>
          </x14:sparklines>
        </x14:sparklineGroup>
        <x14:sparklineGroup displayEmptyCellsAs="gap">
          <x14:colorSeries rgb="FF376092"/>
          <x14:sparklines>
            <x14:sparkline>
              <xm:f>'ETERAL MULTIPLES'!C9:E9</xm:f>
              <xm:sqref>F9</xm:sqref>
            </x14:sparkline>
          </x14:sparklines>
        </x14:sparklineGroup>
        <x14:sparklineGroup displayEmptyCellsAs="gap">
          <x14:colorSeries rgb="FF376092"/>
          <x14:sparklines>
            <x14:sparkline>
              <xm:f>'ETERAL MULTIPLES'!C10:E10</xm:f>
              <xm:sqref>F10</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1.22" defaultRowHeight="15.0" outlineLevelCol="1" outlineLevelRow="1"/>
  <cols>
    <col customWidth="1" min="1" max="1" width="15.11"/>
    <col customWidth="1" hidden="1" min="2" max="2" width="13.11" outlineLevel="1"/>
    <col collapsed="1" customWidth="1" min="3" max="3" width="11.44"/>
    <col customWidth="1" min="4" max="4" width="10.56"/>
    <col customWidth="1" min="5" max="7" width="12.67"/>
    <col customWidth="1" min="8" max="8" width="13.11"/>
    <col customWidth="1" min="9" max="26" width="8.78"/>
  </cols>
  <sheetData>
    <row r="1" ht="15.75" customHeight="1">
      <c r="A1" s="148" t="s">
        <v>181</v>
      </c>
    </row>
    <row r="2" ht="15.75" customHeight="1"/>
    <row r="3" ht="15.75" customHeight="1">
      <c r="A3" s="149" t="s">
        <v>182</v>
      </c>
    </row>
    <row r="4" ht="15.75" customHeight="1">
      <c r="A4" s="150" t="s">
        <v>183</v>
      </c>
      <c r="C4" s="151" t="s">
        <v>184</v>
      </c>
      <c r="D4" s="151" t="s">
        <v>185</v>
      </c>
      <c r="E4" s="151" t="s">
        <v>186</v>
      </c>
      <c r="G4" s="152" t="s">
        <v>187</v>
      </c>
      <c r="H4" s="153">
        <f>(E6*D6)+(D5*E5*(1-0.25168))</f>
        <v>0.09454770273</v>
      </c>
    </row>
    <row r="5" ht="15.75" customHeight="1">
      <c r="A5" s="154" t="s">
        <v>188</v>
      </c>
      <c r="C5" s="155">
        <f>63223.39</f>
        <v>63223.39</v>
      </c>
      <c r="D5" s="156">
        <f>(C5/C7)</f>
        <v>0.332832935</v>
      </c>
      <c r="E5" s="156">
        <f>D23</f>
        <v>0.06703768969</v>
      </c>
    </row>
    <row r="6" ht="15.75" customHeight="1">
      <c r="A6" s="154" t="s">
        <v>132</v>
      </c>
      <c r="C6" s="157">
        <v>126731.94</v>
      </c>
      <c r="D6" s="156">
        <f>(C6/C7)</f>
        <v>0.667167065</v>
      </c>
      <c r="E6" s="158">
        <f>D13</f>
        <v>0.1166888</v>
      </c>
    </row>
    <row r="7" ht="15.75" customHeight="1">
      <c r="A7" s="159" t="s">
        <v>189</v>
      </c>
      <c r="B7" s="159"/>
      <c r="C7" s="160">
        <f t="shared" ref="C7:D7" si="1">SUM(C5:C6)</f>
        <v>189955.33</v>
      </c>
      <c r="D7" s="161">
        <f t="shared" si="1"/>
        <v>1</v>
      </c>
    </row>
    <row r="8" ht="15.75" customHeight="1"/>
    <row r="9" ht="15.75" customHeight="1">
      <c r="A9" s="149" t="s">
        <v>190</v>
      </c>
    </row>
    <row r="10" ht="15.75" customHeight="1">
      <c r="A10" s="150" t="s">
        <v>191</v>
      </c>
      <c r="D10" s="158">
        <v>0.07085</v>
      </c>
      <c r="F10" s="150" t="s">
        <v>192</v>
      </c>
    </row>
    <row r="11" ht="15.75" customHeight="1">
      <c r="A11" s="150" t="s">
        <v>193</v>
      </c>
      <c r="D11" s="150">
        <v>0.952</v>
      </c>
      <c r="F11" s="150" t="s">
        <v>194</v>
      </c>
    </row>
    <row r="12" ht="15.75" customHeight="1">
      <c r="A12" s="150" t="s">
        <v>195</v>
      </c>
      <c r="D12" s="162">
        <f>D16</f>
        <v>0.119</v>
      </c>
    </row>
    <row r="13" ht="15.75" customHeight="1">
      <c r="A13" s="159" t="s">
        <v>196</v>
      </c>
      <c r="B13" s="159"/>
      <c r="C13" s="159"/>
      <c r="D13" s="163">
        <f>D10+D11*(D12-D10)</f>
        <v>0.1166888</v>
      </c>
    </row>
    <row r="14" ht="15.75" customHeight="1"/>
    <row r="15" ht="15.75" customHeight="1">
      <c r="A15" s="150" t="s">
        <v>197</v>
      </c>
    </row>
    <row r="16" ht="15.75" customHeight="1">
      <c r="A16" s="164" t="s">
        <v>198</v>
      </c>
      <c r="B16" s="165"/>
      <c r="C16" s="165"/>
      <c r="D16" s="166">
        <v>0.119</v>
      </c>
      <c r="F16" s="150" t="s">
        <v>199</v>
      </c>
    </row>
    <row r="17" ht="15.75" customHeight="1">
      <c r="A17" s="154" t="s">
        <v>200</v>
      </c>
      <c r="D17" s="162">
        <v>0.116</v>
      </c>
      <c r="F17" s="150" t="s">
        <v>201</v>
      </c>
    </row>
    <row r="18" ht="15.75" customHeight="1">
      <c r="F18" s="150" t="s">
        <v>202</v>
      </c>
    </row>
    <row r="19" ht="15.75" customHeight="1">
      <c r="A19" s="149" t="s">
        <v>203</v>
      </c>
    </row>
    <row r="20" ht="15.75" customHeight="1">
      <c r="N20" s="150" t="s">
        <v>204</v>
      </c>
    </row>
    <row r="21" ht="15.75" customHeight="1">
      <c r="A21" s="150" t="s">
        <v>205</v>
      </c>
      <c r="D21" s="167">
        <v>4238.35</v>
      </c>
    </row>
    <row r="22" ht="15.75" customHeight="1">
      <c r="A22" s="150" t="s">
        <v>171</v>
      </c>
      <c r="D22" s="155">
        <f>C5</f>
        <v>63223.39</v>
      </c>
    </row>
    <row r="23" ht="15.75" customHeight="1">
      <c r="A23" s="159" t="s">
        <v>206</v>
      </c>
      <c r="B23" s="159"/>
      <c r="C23" s="159"/>
      <c r="D23" s="161">
        <f>D21/D22</f>
        <v>0.06703768969</v>
      </c>
      <c r="F23" s="150" t="s">
        <v>207</v>
      </c>
    </row>
    <row r="24" ht="15.75" customHeight="1">
      <c r="F24" s="150" t="s">
        <v>208</v>
      </c>
    </row>
    <row r="25" ht="15.75" customHeight="1">
      <c r="F25" s="150" t="s">
        <v>209</v>
      </c>
    </row>
    <row r="26" ht="15.75" customHeight="1"/>
    <row r="27" ht="15.75" customHeight="1">
      <c r="A27" s="149" t="s">
        <v>210</v>
      </c>
    </row>
    <row r="28" ht="15.75" customHeight="1"/>
    <row r="29" ht="15.75" customHeight="1">
      <c r="A29" s="168" t="s">
        <v>211</v>
      </c>
      <c r="B29" s="168"/>
      <c r="C29" s="168"/>
      <c r="D29" s="169">
        <v>0.07</v>
      </c>
      <c r="F29" s="150" t="s">
        <v>212</v>
      </c>
    </row>
    <row r="30" ht="15.75" customHeight="1">
      <c r="A30" s="168"/>
      <c r="B30" s="168"/>
      <c r="C30" s="168"/>
      <c r="D30" s="169"/>
    </row>
    <row r="31" ht="15.75" customHeight="1">
      <c r="A31" s="150" t="s">
        <v>213</v>
      </c>
    </row>
    <row r="32" ht="15.75" customHeight="1">
      <c r="A32" s="150" t="s">
        <v>214</v>
      </c>
    </row>
    <row r="33" ht="15.75" customHeight="1">
      <c r="A33" s="150" t="s">
        <v>215</v>
      </c>
    </row>
    <row r="34" ht="15.75" customHeight="1">
      <c r="A34" s="150" t="s">
        <v>216</v>
      </c>
    </row>
    <row r="35" ht="15.75" customHeight="1"/>
    <row r="36" ht="15.75" customHeight="1">
      <c r="A36" s="149" t="s">
        <v>217</v>
      </c>
    </row>
    <row r="37" ht="15.75" customHeight="1"/>
    <row r="38" ht="15.75" customHeight="1">
      <c r="A38" s="149" t="s">
        <v>218</v>
      </c>
      <c r="C38" s="170">
        <v>0.04</v>
      </c>
      <c r="E38" s="150" t="s">
        <v>219</v>
      </c>
    </row>
    <row r="39" ht="15.75" customHeight="1">
      <c r="A39" s="149" t="s">
        <v>220</v>
      </c>
      <c r="C39" s="162">
        <v>0.065</v>
      </c>
      <c r="E39" s="150" t="s">
        <v>221</v>
      </c>
    </row>
    <row r="40" ht="15.75" customHeight="1"/>
    <row r="41" ht="15.75" customHeight="1">
      <c r="A41" s="150" t="s">
        <v>222</v>
      </c>
    </row>
    <row r="42" ht="15.75" customHeight="1">
      <c r="A42" s="150" t="s">
        <v>223</v>
      </c>
    </row>
    <row r="43" ht="15.75" customHeight="1">
      <c r="A43" s="150" t="s">
        <v>224</v>
      </c>
    </row>
    <row r="44" ht="15.75" customHeight="1">
      <c r="A44" s="150" t="s">
        <v>225</v>
      </c>
    </row>
    <row r="45" ht="15.75" customHeight="1"/>
    <row r="46" ht="15.75" customHeight="1">
      <c r="A46" s="150" t="s">
        <v>226</v>
      </c>
    </row>
    <row r="47" ht="15.75" customHeight="1">
      <c r="A47" s="168" t="s">
        <v>227</v>
      </c>
      <c r="B47" s="168"/>
      <c r="C47" s="168"/>
      <c r="D47" s="169">
        <v>0.05</v>
      </c>
    </row>
    <row r="48" ht="15.75" customHeight="1"/>
    <row r="49" ht="15.75" customHeight="1">
      <c r="A49" s="149" t="s">
        <v>228</v>
      </c>
    </row>
    <row r="50" ht="15.75" customHeight="1">
      <c r="A50" s="149"/>
    </row>
    <row r="51" ht="15.75" customHeight="1">
      <c r="A51" s="150" t="s">
        <v>183</v>
      </c>
      <c r="B51" s="150">
        <v>2022.0</v>
      </c>
      <c r="C51" s="150">
        <v>2023.0</v>
      </c>
      <c r="D51" s="150">
        <v>2024.0</v>
      </c>
      <c r="E51" s="150">
        <v>2025.0</v>
      </c>
    </row>
    <row r="52" ht="15.75" customHeight="1">
      <c r="A52" s="150" t="s">
        <v>229</v>
      </c>
      <c r="B52" s="171">
        <v>33011.18</v>
      </c>
      <c r="C52" s="172">
        <v>14701.36</v>
      </c>
      <c r="D52" s="172">
        <v>15661.85</v>
      </c>
      <c r="E52" s="172">
        <v>13969.7</v>
      </c>
    </row>
    <row r="53" ht="15.75" customHeight="1">
      <c r="A53" s="150" t="s">
        <v>230</v>
      </c>
      <c r="B53" s="171">
        <v>5463.69</v>
      </c>
      <c r="C53" s="172">
        <v>5956.32</v>
      </c>
      <c r="D53" s="172">
        <v>6008.95</v>
      </c>
      <c r="E53" s="172">
        <v>6253.16</v>
      </c>
    </row>
    <row r="54" ht="15.75" customHeight="1">
      <c r="A54" s="150" t="s">
        <v>231</v>
      </c>
      <c r="B54" s="150">
        <f>2792.08*(1-0.25168)</f>
        <v>2089.369306</v>
      </c>
      <c r="C54" s="172">
        <v>2974.3</v>
      </c>
      <c r="D54" s="172">
        <v>3068.5</v>
      </c>
      <c r="E54" s="172">
        <v>3171.64</v>
      </c>
      <c r="G54" s="150" t="s">
        <v>232</v>
      </c>
    </row>
    <row r="55" ht="15.75" customHeight="1" outlineLevel="1">
      <c r="A55" s="149" t="s">
        <v>233</v>
      </c>
      <c r="B55" s="149"/>
      <c r="C55" s="155"/>
      <c r="D55" s="155"/>
      <c r="E55" s="155"/>
    </row>
    <row r="56" ht="15.75" customHeight="1" outlineLevel="1">
      <c r="A56" s="150" t="s">
        <v>234</v>
      </c>
      <c r="B56" s="171">
        <v>31289.57</v>
      </c>
      <c r="C56" s="172">
        <v>40626.97</v>
      </c>
      <c r="D56" s="172">
        <v>37023.06</v>
      </c>
      <c r="E56" s="172">
        <v>33702.9</v>
      </c>
    </row>
    <row r="57" ht="15.75" customHeight="1" outlineLevel="1">
      <c r="A57" s="150" t="s">
        <v>235</v>
      </c>
      <c r="B57" s="171">
        <v>53664.83</v>
      </c>
      <c r="C57" s="172">
        <v>51771.97</v>
      </c>
      <c r="D57" s="172">
        <v>49894.44</v>
      </c>
      <c r="E57" s="172">
        <v>54482.92</v>
      </c>
    </row>
    <row r="58" ht="15.75" customHeight="1" outlineLevel="1">
      <c r="A58" s="150" t="s">
        <v>236</v>
      </c>
      <c r="B58" s="171">
        <f t="shared" ref="B58:E58" si="2">B56-B57</f>
        <v>-22375.26</v>
      </c>
      <c r="C58" s="155">
        <f t="shared" si="2"/>
        <v>-11145</v>
      </c>
      <c r="D58" s="155">
        <f t="shared" si="2"/>
        <v>-12871.38</v>
      </c>
      <c r="E58" s="155">
        <f t="shared" si="2"/>
        <v>-20780.02</v>
      </c>
    </row>
    <row r="59" ht="15.75" customHeight="1">
      <c r="A59" s="150" t="s">
        <v>237</v>
      </c>
      <c r="C59" s="155">
        <f t="shared" ref="C59:E59" si="3">C58-B58</f>
        <v>11230.26</v>
      </c>
      <c r="D59" s="155">
        <f t="shared" si="3"/>
        <v>-1726.38</v>
      </c>
      <c r="E59" s="155">
        <f t="shared" si="3"/>
        <v>-7908.64</v>
      </c>
      <c r="G59" s="150" t="s">
        <v>238</v>
      </c>
    </row>
    <row r="60" ht="15.75" customHeight="1">
      <c r="A60" s="150" t="s">
        <v>239</v>
      </c>
      <c r="C60" s="155">
        <v>8554.58</v>
      </c>
      <c r="D60" s="155">
        <v>10876.23</v>
      </c>
      <c r="E60" s="155">
        <v>11105.71</v>
      </c>
      <c r="G60" s="150" t="s">
        <v>240</v>
      </c>
    </row>
    <row r="61" ht="15.75" customHeight="1">
      <c r="A61" s="173" t="s">
        <v>241</v>
      </c>
      <c r="B61" s="173"/>
      <c r="C61" s="174">
        <f t="shared" ref="C61:E61" si="4">C52+C53+C54-C59-C60</f>
        <v>3847.14</v>
      </c>
      <c r="D61" s="174">
        <f t="shared" si="4"/>
        <v>15589.45</v>
      </c>
      <c r="E61" s="174">
        <f t="shared" si="4"/>
        <v>20197.43</v>
      </c>
    </row>
    <row r="62" ht="15.75" customHeight="1"/>
    <row r="63" ht="15.75" customHeight="1">
      <c r="A63" s="149" t="s">
        <v>242</v>
      </c>
    </row>
    <row r="64" ht="15.75" customHeight="1">
      <c r="A64" s="150" t="s">
        <v>183</v>
      </c>
      <c r="C64" s="150">
        <v>2025.0</v>
      </c>
      <c r="D64" s="150">
        <v>2026.0</v>
      </c>
      <c r="E64" s="150">
        <v>2027.0</v>
      </c>
      <c r="F64" s="150">
        <v>2028.0</v>
      </c>
      <c r="G64" s="150">
        <v>2029.0</v>
      </c>
      <c r="H64" s="150" t="s">
        <v>243</v>
      </c>
    </row>
    <row r="65" ht="15.75" customHeight="1">
      <c r="A65" s="149" t="s">
        <v>244</v>
      </c>
      <c r="C65" s="150">
        <v>0.0</v>
      </c>
      <c r="D65" s="150">
        <v>1.0</v>
      </c>
      <c r="E65" s="150">
        <v>2.0</v>
      </c>
      <c r="F65" s="150">
        <v>3.0</v>
      </c>
      <c r="G65" s="150">
        <v>4.0</v>
      </c>
      <c r="H65" s="150">
        <v>5.0</v>
      </c>
    </row>
    <row r="66" ht="15.75" customHeight="1">
      <c r="A66" s="149" t="s">
        <v>241</v>
      </c>
      <c r="C66" s="155">
        <f>E61</f>
        <v>20197.43</v>
      </c>
      <c r="D66" s="155">
        <f t="shared" ref="D66:G66" si="5">C66*(1+$D$29)</f>
        <v>21611.2501</v>
      </c>
      <c r="E66" s="155">
        <f t="shared" si="5"/>
        <v>23124.03761</v>
      </c>
      <c r="F66" s="155">
        <f t="shared" si="5"/>
        <v>24742.72024</v>
      </c>
      <c r="G66" s="155">
        <f t="shared" si="5"/>
        <v>26474.71066</v>
      </c>
      <c r="H66" s="155">
        <f>G66*(1+D47)/(D29-D47)</f>
        <v>1389922.309</v>
      </c>
    </row>
    <row r="67" ht="15.75" customHeight="1">
      <c r="A67" s="149" t="s">
        <v>245</v>
      </c>
      <c r="C67" s="155">
        <v>1.0</v>
      </c>
      <c r="D67" s="155">
        <f t="shared" ref="D67:G67" si="6">C67/(1+$H$4)</f>
        <v>0.9136193859</v>
      </c>
      <c r="E67" s="155">
        <f t="shared" si="6"/>
        <v>0.8347003823</v>
      </c>
      <c r="F67" s="155">
        <f t="shared" si="6"/>
        <v>0.7625984507</v>
      </c>
      <c r="G67" s="155">
        <f t="shared" si="6"/>
        <v>0.6967247282</v>
      </c>
      <c r="H67" s="155">
        <f>G67</f>
        <v>0.6967247282</v>
      </c>
      <c r="J67" s="150" t="s">
        <v>246</v>
      </c>
    </row>
    <row r="68" ht="15.75" customHeight="1">
      <c r="A68" s="149" t="s">
        <v>247</v>
      </c>
      <c r="C68" s="155">
        <f t="shared" ref="C68:H68" si="7">C66*C67</f>
        <v>20197.43</v>
      </c>
      <c r="D68" s="155">
        <f t="shared" si="7"/>
        <v>19744.45704</v>
      </c>
      <c r="E68" s="155">
        <f t="shared" si="7"/>
        <v>19301.64303</v>
      </c>
      <c r="F68" s="155">
        <f t="shared" si="7"/>
        <v>18868.76012</v>
      </c>
      <c r="G68" s="155">
        <f t="shared" si="7"/>
        <v>18445.58559</v>
      </c>
      <c r="H68" s="155">
        <f t="shared" si="7"/>
        <v>968393.2433</v>
      </c>
    </row>
    <row r="69" ht="15.75" customHeight="1"/>
    <row r="70" ht="15.75" customHeight="1">
      <c r="A70" s="175" t="s">
        <v>248</v>
      </c>
      <c r="B70" s="175"/>
      <c r="C70" s="176">
        <f>SUM(C68:H68)</f>
        <v>1064951.119</v>
      </c>
    </row>
    <row r="71" ht="15.75" customHeight="1"/>
    <row r="72" ht="15.75" customHeight="1">
      <c r="A72" s="150" t="s">
        <v>168</v>
      </c>
      <c r="C72" s="177">
        <v>261180.0</v>
      </c>
      <c r="D72" s="178"/>
    </row>
    <row r="73" ht="15.75" customHeight="1"/>
    <row r="74" ht="15.75" customHeight="1">
      <c r="A74" s="150" t="s">
        <v>249</v>
      </c>
    </row>
    <row r="75" ht="15.75" customHeight="1">
      <c r="A75" s="154" t="s">
        <v>250</v>
      </c>
    </row>
    <row r="76" ht="15.75" customHeight="1">
      <c r="A76" s="154" t="s">
        <v>251</v>
      </c>
    </row>
    <row r="77" ht="15.75" customHeight="1">
      <c r="A77" s="154" t="s">
        <v>252</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2026-05-21T13:00:29Z</dcterms:created>
  <dc:creator>Romit Banerjee - 21277030197</dc:creator>
</cp:coreProperties>
</file>
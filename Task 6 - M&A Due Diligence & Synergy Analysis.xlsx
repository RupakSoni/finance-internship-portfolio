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omitbanerjee/Documents/PENDING FINANCE LIVE PROJECT/"/>
    </mc:Choice>
  </mc:AlternateContent>
  <xr:revisionPtr revIDLastSave="0" documentId="8_{D9A76548-D5E9-E546-92DE-E81E65AFCD7E}" xr6:coauthVersionLast="47" xr6:coauthVersionMax="47" xr10:uidLastSave="{00000000-0000-0000-0000-000000000000}"/>
  <bookViews>
    <workbookView xWindow="0" yWindow="660" windowWidth="26220" windowHeight="16520" tabRatio="500" firstSheet="4" activeTab="8" xr2:uid="{00000000-000D-0000-FFFF-FFFF00000000}"/>
  </bookViews>
  <sheets>
    <sheet name="00_Cover" sheetId="1" r:id="rId1"/>
    <sheet name="01_Executive_Summary" sheetId="2" r:id="rId2"/>
    <sheet name="02_Case_Comparison" sheetId="3" r:id="rId3"/>
    <sheet name="03_Mars_Kellanova_DD" sheetId="4" r:id="rId4"/>
    <sheet name="04_Kellanova_Financials" sheetId="5" r:id="rId5"/>
    <sheet name="05_Deal_Terms_Valuation" sheetId="6" r:id="rId6"/>
    <sheet name="06_Synergy_Assessment" sheetId="7" r:id="rId7"/>
    <sheet name="07_Consideration_Fairness" sheetId="8" r:id="rId8"/>
    <sheet name="08_Assumptions_Sources" sheetId="10" r:id="rId9"/>
  </sheets>
  <definedNames>
    <definedName name="_xlnm._FilterDatabase" localSheetId="8" hidden="1">'08_Assumptions_Sources'!$B$13:$H$23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10" l="1"/>
  <c r="D9" i="10"/>
  <c r="C24" i="8" s="1"/>
  <c r="F21" i="8"/>
  <c r="C16" i="8"/>
  <c r="F22" i="8" s="1"/>
  <c r="E19" i="7"/>
  <c r="E11" i="7"/>
  <c r="J10" i="7"/>
  <c r="I10" i="7"/>
  <c r="J9" i="7"/>
  <c r="I9" i="7"/>
  <c r="J8" i="7"/>
  <c r="I8" i="7"/>
  <c r="J7" i="7"/>
  <c r="I7" i="7"/>
  <c r="D32" i="6"/>
  <c r="D31" i="6"/>
  <c r="C31" i="6"/>
  <c r="E31" i="6" s="1"/>
  <c r="D30" i="6"/>
  <c r="C30" i="6"/>
  <c r="E30" i="6" s="1"/>
  <c r="D29" i="6"/>
  <c r="C29" i="6"/>
  <c r="C32" i="6" s="1"/>
  <c r="E28" i="6"/>
  <c r="D28" i="6"/>
  <c r="C28" i="6"/>
  <c r="C23" i="6"/>
  <c r="C22" i="6"/>
  <c r="C21" i="6"/>
  <c r="C20" i="6"/>
  <c r="E14" i="6"/>
  <c r="E13" i="6"/>
  <c r="E12" i="6"/>
  <c r="E10" i="6"/>
  <c r="E9" i="6"/>
  <c r="E8" i="6"/>
  <c r="C24" i="6" s="1"/>
  <c r="E7" i="6"/>
  <c r="D28" i="5"/>
  <c r="D27" i="5"/>
  <c r="F23" i="5"/>
  <c r="E23" i="5"/>
  <c r="F22" i="5"/>
  <c r="E22" i="5"/>
  <c r="F21" i="5"/>
  <c r="E21" i="5"/>
  <c r="E17" i="5"/>
  <c r="D17" i="5"/>
  <c r="C17" i="5"/>
  <c r="E16" i="5"/>
  <c r="D16" i="5"/>
  <c r="C16" i="5"/>
  <c r="E15" i="5"/>
  <c r="D15" i="5"/>
  <c r="C15" i="5"/>
  <c r="F11" i="5"/>
  <c r="F10" i="5"/>
  <c r="G10" i="5" s="1"/>
  <c r="E10" i="5"/>
  <c r="F9" i="5"/>
  <c r="G9" i="5" s="1"/>
  <c r="E9" i="5"/>
  <c r="G8" i="5"/>
  <c r="F8" i="5"/>
  <c r="E8" i="5"/>
  <c r="F7" i="5"/>
  <c r="G7" i="5" s="1"/>
  <c r="E7" i="5"/>
  <c r="C8" i="2"/>
  <c r="C7" i="2"/>
  <c r="C20" i="8" l="1"/>
  <c r="C22" i="8"/>
  <c r="D22" i="8"/>
  <c r="E22" i="8"/>
  <c r="G20" i="8"/>
  <c r="G22" i="8"/>
  <c r="E11" i="6"/>
  <c r="C21" i="8"/>
  <c r="E29" i="6"/>
  <c r="E32" i="6" s="1"/>
  <c r="G21" i="8"/>
  <c r="D21" i="8"/>
  <c r="E21" i="8"/>
  <c r="D20" i="8"/>
  <c r="E20" i="8"/>
  <c r="F20" i="8"/>
</calcChain>
</file>

<file path=xl/sharedStrings.xml><?xml version="1.0" encoding="utf-8"?>
<sst xmlns="http://schemas.openxmlformats.org/spreadsheetml/2006/main" count="481" uniqueCount="394">
  <si>
    <t>GOLDMAN SACHS  |  INVESTMENT BANKING DIVISION</t>
  </si>
  <si>
    <t>Mergers &amp; Acquisitions — Due Diligence Memorandum</t>
  </si>
  <si>
    <t>Post-2021 M&amp;A Case Study: One Success, One Failure</t>
  </si>
  <si>
    <t>Success: Mars, Incorporated — Acquisition of Kellanova (NYSE: K)  |  Failure: Reliance Retail — Strategic Investment in Dunzo</t>
  </si>
  <si>
    <t>Primary DD subject</t>
  </si>
  <si>
    <t>Mars, Inc. acquisition of Kellanova</t>
  </si>
  <si>
    <t>Presentation currency</t>
  </si>
  <si>
    <t>Indian Rupee (INR); principal unit = INR crore (1 crore = 10 million)</t>
  </si>
  <si>
    <t>FX assumption</t>
  </si>
  <si>
    <t>USD/INR = 83.97 as of deal announcement date 14-Aug-2024 (see 09_Assumptions_Sources)</t>
  </si>
  <si>
    <t>Assignment Brief</t>
  </si>
  <si>
    <t>1) Identify two M&amp;A cases after 2021 — one that failed and one that succeeded — and explain the reasons for failure / success in terms of synergies.
2) Perform due diligence on one case (Mars–Kellanova) and assess whether the M&amp;A consideration amount was justifiable.</t>
  </si>
  <si>
    <t>Executive Summary</t>
  </si>
  <si>
    <t>Conclusions for both post-2021 cases and the fairness view on the Mars–Kellanova consideration. All values in INR crore unless stated.</t>
  </si>
  <si>
    <t>Mars–Kellanova — Headline Deal Economics (INR crore unless noted)</t>
  </si>
  <si>
    <t>Metric</t>
  </si>
  <si>
    <t>Value</t>
  </si>
  <si>
    <t>Unit</t>
  </si>
  <si>
    <t>Note / Source</t>
  </si>
  <si>
    <t>Total consideration (Enterprise Value)</t>
  </si>
  <si>
    <t>INR cr</t>
  </si>
  <si>
    <t>$35.9bn EV × FX factor (S1, S2)</t>
  </si>
  <si>
    <t>Offer price per share</t>
  </si>
  <si>
    <t>INR/sh</t>
  </si>
  <si>
    <t>$83.50/share all-cash × FX (S1, S2)</t>
  </si>
  <si>
    <t>Premium to 30-day VWAP</t>
  </si>
  <si>
    <t>%</t>
  </si>
  <si>
    <t>Stated 44% premium (S1, S2)</t>
  </si>
  <si>
    <t>Premium to 52-week high</t>
  </si>
  <si>
    <t>Stated 33% premium (S1, S2)</t>
  </si>
  <si>
    <t>Implied EV / LTM adj. EBITDA</t>
  </si>
  <si>
    <t>x</t>
  </si>
  <si>
    <t>Stated multiple (S1, S2)</t>
  </si>
  <si>
    <t>Debt-funded share of financing</t>
  </si>
  <si>
    <t>$31bn of $35.9bn (S1)</t>
  </si>
  <si>
    <t>Verdicts at a Glance</t>
  </si>
  <si>
    <t>Case</t>
  </si>
  <si>
    <t>Status</t>
  </si>
  <si>
    <t>One-line verdict</t>
  </si>
  <si>
    <t>Mars, Inc. → Kellanova</t>
  </si>
  <si>
    <t>SUCCESS / STRATEGICALLY STRONG</t>
  </si>
  <si>
    <t>Compelling scale, portfolio, distribution and brand synergies; full-cash 44% premium is rich but justifiable given strategic control value and Mars' financing capacity. Success is contingent on execution and deleveraging.</t>
  </si>
  <si>
    <t>Reliance Retail → Dunzo</t>
  </si>
  <si>
    <t>FAILURE / UNDER-REALISED</t>
  </si>
  <si>
    <t>Synergies never materialised: persistent cash burn, weak unit economics, integration gaps and intense quick-commerce competition led Reliance to write off its ~₹1,645 cr stake (S8).</t>
  </si>
  <si>
    <t>Why Each Deal Succeeded / Failed (Synergy Lens)</t>
  </si>
  <si>
    <t>Dimension</t>
  </si>
  <si>
    <t>Mars–Kellanova (Success driver)</t>
  </si>
  <si>
    <t>Reliance–Dunzo (Failure driver)</t>
  </si>
  <si>
    <t>Financial</t>
  </si>
  <si>
    <t>Scale play: combined ~$36bn snacking revenue; procurement &amp; cash-flow synergies support deleveraging (S1,S2).</t>
  </si>
  <si>
    <t>Cash burn &gt;₹100 cr/month; revenue could not offset losses (FY23 loss ~₹1,800 cr) (S8,S9).</t>
  </si>
  <si>
    <t>Operational</t>
  </si>
  <si>
    <t>Complementary distribution, supply chain and R&amp;D across 180 markets; ~23k + 150k associates (S1,S2).</t>
  </si>
  <si>
    <t>Tech/inventory systems unaligned; integration incomplete; corporate-vs-startup culture clash (S1).</t>
  </si>
  <si>
    <t>Strategic</t>
  </si>
  <si>
    <t>Two new $1bn brands (Pringles, Cheez-It); stronger vs PepsiCo/Mondelez (S1,S2).</t>
  </si>
  <si>
    <t>Competitors (Blinkit, Zepto, Instamart) scaled faster; Dunzo lost relevance and was written off (S8,S10).</t>
  </si>
  <si>
    <t>Final Fairness View — Mars–Kellanova Consideration</t>
  </si>
  <si>
    <t>Conclusion: the ~₹3.01 lakh-crore (US$35.9bn) consideration was JUSTIFIABLE BUT NOT CHEAP. At 16.4x LTM adjusted EBITDA and a 44% premium to the unaffected 30-day VWAP, Mars paid a full strategic-control price — above typical packaged-food trading multiples (~12–15x). It is defensible because (i) the all-cash certainty secured a clean exit and board/foundation support, (ii) Mars gains two new billion-dollar brands and a doubling of its snacking platform, and (iii) Mars' private balance sheet and cash flows can absorb the leverage (peaking ~4.0x, falling &lt;3.0x by FY2027). The premium is best viewed as payment for strategic option value and synergy potential rather than for current standalone cash flows. See 07_Consideration_Fairness for the framework.</t>
  </si>
  <si>
    <t>Case Comparison — Two Post-2021 M&amp;A Deals</t>
  </si>
  <si>
    <t>Side-by-side comparison of the successful and failed cases. USD values converted to INR using FX = 83.97 (deal-date basis).</t>
  </si>
  <si>
    <t>Side-by-Side Comparison</t>
  </si>
  <si>
    <t>Attribute</t>
  </si>
  <si>
    <t>Case 1 — SUCCESS</t>
  </si>
  <si>
    <t>Case 2 — FAILURE</t>
  </si>
  <si>
    <t>Acquirer</t>
  </si>
  <si>
    <t>Mars, Incorporated (private, family-owned)</t>
  </si>
  <si>
    <t>Reliance Retail (Reliance Industries)</t>
  </si>
  <si>
    <t>Target</t>
  </si>
  <si>
    <t>Kellanova (NYSE: K)</t>
  </si>
  <si>
    <t>Dunzo (hyperlocal / quick-commerce startup)</t>
  </si>
  <si>
    <t>Announcement / deal date</t>
  </si>
  <si>
    <t>14-Aug-2024 (closed 11-Dec-2025)</t>
  </si>
  <si>
    <t>January 2022 (strategic investment round)</t>
  </si>
  <si>
    <t>Structure</t>
  </si>
  <si>
    <t>All-cash acquisition (100%)</t>
  </si>
  <si>
    <t>Minority strategic equity investment</t>
  </si>
  <si>
    <t>Stake / consideration</t>
  </si>
  <si>
    <t>100% for $83.50/share = $35.9bn EV  →  ₹301,452 cr</t>
  </si>
  <si>
    <t>~25.8–26% stake for ~₹1,645 cr (part of $240m round)</t>
  </si>
  <si>
    <t>Implied valuation metric</t>
  </si>
  <si>
    <t>16.4x LTM adj. EBITDA; 44% premium to 30-day VWAP</t>
  </si>
  <si>
    <t>Loss-making; venture-style growth valuation</t>
  </si>
  <si>
    <t>Status / outcome</t>
  </si>
  <si>
    <t>Completed; strategically strong, execution-dependent</t>
  </si>
  <si>
    <t>Investment written off (FY25); Dunzo wound down</t>
  </si>
  <si>
    <t>Expected synergies</t>
  </si>
  <si>
    <t>Scale (~$36bn snacking), distribution, R&amp;D, 2 new $1bn brands</t>
  </si>
  <si>
    <t>Quick-commerce entry, last-mile logistics for JioMart, dark-store scale</t>
  </si>
  <si>
    <t>Realised / unrealised synergies</t>
  </si>
  <si>
    <t>Largely intact at close; realisation in progress</t>
  </si>
  <si>
    <t>Largely unrealised — burn, weak unit economics, integration gaps</t>
  </si>
  <si>
    <t>Primary success / failure reason</t>
  </si>
  <si>
    <t>Strong strategic fit + scale + financing capacity</t>
  </si>
  <si>
    <t>Unsustainable cash burn + competition + integration failure</t>
  </si>
  <si>
    <t>Key risk</t>
  </si>
  <si>
    <t>Leverage (~4.0x peak) &amp; multi-country integration</t>
  </si>
  <si>
    <t>Quick-commerce economics &amp; competitive intensity</t>
  </si>
  <si>
    <t>Source IDs</t>
  </si>
  <si>
    <t>S1, S2, S3, S5</t>
  </si>
  <si>
    <t>S1, S8, S9, S10</t>
  </si>
  <si>
    <t>Mars–Kellanova — Due Diligence Findings</t>
  </si>
  <si>
    <t>Qualitative and quantitative diligence across seven workstreams. Numbers reference 04_Kellanova_Financials and 05_Deal_Terms_Valuation. Sources in 09_Assumptions_Sources.</t>
  </si>
  <si>
    <t>Due Diligence Workstreams</t>
  </si>
  <si>
    <t>Workstream</t>
  </si>
  <si>
    <t>Finding</t>
  </si>
  <si>
    <t>Strategic rationale</t>
  </si>
  <si>
    <t>Mars converts a confectionery + pet-care platform into a full-spectrum global snacking leader, targeting a doubling of Mars Snacking over the next decade. Kellanova adds a ~$13bn revenue base across 180 markets, bringing the combined snacking platform to ~$36bn and strengthening Mars vs PepsiCo and Mondelez. Adds two new $1bn brands — Pringles and Cheez-It — plus Pop-Tarts, RXBAR, NutriGrain, Eggo, MorningStar Farms (S1, S2).</t>
  </si>
  <si>
    <t>Target business profile</t>
  </si>
  <si>
    <t>Kellanova (post Kellogg split, Oct-2023) is a branded CPG manufacturer/marketer of snacks and convenience foods, sold via direct sales teams, brokers and distributors. FY2024 net sales $12,749m (₹107,053 cr), operating profit $1,873m, net income $1,343m (S3). Reportable segments: North America, Europe, Latin America, AMEA.</t>
  </si>
  <si>
    <t>Product / geography / customer concentration</t>
  </si>
  <si>
    <t>Product: salty snacks, crackers, toaster pastries, cereal bars, international cereal, noodles, frozen breakfast, plant-based. Geography: manufacturing in ~20 countries; products sold in 180+ countries. Customer concentration is a key risk: Walmart ~16% of FY2024 net sales (~$2.04bn) and top-5 customers ~29% (~$3.70bn), ~46% of US net sales (S4). See 04 for INR values.</t>
  </si>
  <si>
    <t>Operational diligence</t>
  </si>
  <si>
    <t>~23,000–24,000 Kellanova employees and 32+ million sq. ft. of facilities join Mars' 150,000+ associates. Largely unionised manufacturing/distribution network — integration must avoid disruption. Complementary supply chains and R&amp;D, with notable white space in Africa and Latin America where Mars distribution can scale Kellanova brands (S1, S2, S4).</t>
  </si>
  <si>
    <t>Financial diligence</t>
  </si>
  <si>
    <t>Quality of earnings: FY2024 operating profit grew to $1,873m from $1,505m (FY2023) with operating margin ~14.7% — consistent with Kellanova's &gt;15% adjusted operating-margin target. Net debt $5,049m (FY2024). Implied LTM adjusted EBITDA ~$2.19bn (back-solved from $35.9bn ÷ 16.4x). Cash $694m provides modest standalone liquidity (S3, A4). See 04 &amp; 05.</t>
  </si>
  <si>
    <t>Management / ownership / regulatory</t>
  </si>
  <si>
    <t>All-cash deal unanimously approved by Kellanova's Board; W.K. Kellogg Foundation Trust (~20.7% of shares) agreed to vote in favour; shareowner approval 01-Nov-2024. Closing required 28 regulatory approvals across jurisdictions (closed 11-Dec-2025). Antitrust focus on combined bargaining power with large retailers (S1, S2).</t>
  </si>
  <si>
    <t>Integration risks</t>
  </si>
  <si>
    <t>(i) Leverage: pro-forma rises from ~1.2x (FY2024) to ~4.0x at close, targeted &lt;3.0x by FY2027 — S&amp;P downgraded Mars A+→A. (ii) Multi-country workforce/facility integration. (iii) Retailer concentration (Walmart). (iv) Culture/operating-model alignment between a private family company and a listed CPG. Detailed in 08_PMI_Risks_Mitigants (S1, S5).</t>
  </si>
  <si>
    <t>Kellanova — Historical Financial Snapshot</t>
  </si>
  <si>
    <t>Source figures reported in USD millions (Kellanova FY2024 results, S3); converted to INR crore at FX = 83.97 (1 USD mn = ₹8.397 cr). Margins are live formulas.</t>
  </si>
  <si>
    <t>Income Statement &amp; Balance Sheet (USD mn reported → INR crore)</t>
  </si>
  <si>
    <t>Line item</t>
  </si>
  <si>
    <t>FY2023
(USD mn)</t>
  </si>
  <si>
    <t>FY2024
(USD mn)</t>
  </si>
  <si>
    <t>FY2023
(INR cr)</t>
  </si>
  <si>
    <t>FY2024
(INR cr)</t>
  </si>
  <si>
    <t>YoY %
(INR)</t>
  </si>
  <si>
    <t>Source / note</t>
  </si>
  <si>
    <t>Net sales</t>
  </si>
  <si>
    <t>Kellanova FY24 results (S3)</t>
  </si>
  <si>
    <t>Gross profit</t>
  </si>
  <si>
    <t>Operating profit</t>
  </si>
  <si>
    <t>Net income (attrib. to Kellanova)</t>
  </si>
  <si>
    <t>Adjusted EBITDA (LTM, implied)</t>
  </si>
  <si>
    <t>N/A</t>
  </si>
  <si>
    <t>Implied = $35.9bn ÷ 16.4x (A4, S2)</t>
  </si>
  <si>
    <t>Profitability Margins (live formulas, % of net sales)</t>
  </si>
  <si>
    <t>Margin</t>
  </si>
  <si>
    <t>FY2023 %</t>
  </si>
  <si>
    <t>FY2024 %</t>
  </si>
  <si>
    <t>Δ (pp)</t>
  </si>
  <si>
    <t>Basis</t>
  </si>
  <si>
    <t>Gross margin</t>
  </si>
  <si>
    <t>Gross profit ÷ Net sales</t>
  </si>
  <si>
    <t>Operating margin</t>
  </si>
  <si>
    <t>Operating profit ÷ Net sales</t>
  </si>
  <si>
    <t>Net margin</t>
  </si>
  <si>
    <t>Net income ÷ Net sales</t>
  </si>
  <si>
    <t>Balance Sheet — Liquidity &amp; Leverage (USD mn → INR cr)</t>
  </si>
  <si>
    <t>Item</t>
  </si>
  <si>
    <t>FY2023 (USD mn)</t>
  </si>
  <si>
    <t>FY2024 (USD mn)</t>
  </si>
  <si>
    <t>FY2023 (INR cr)</t>
  </si>
  <si>
    <t>FY2024 (INR cr)</t>
  </si>
  <si>
    <t>Cash &amp; cash equivalents</t>
  </si>
  <si>
    <t>Kellanova FY24 results, balance sheet (S3)</t>
  </si>
  <si>
    <t>Total debt liabilities</t>
  </si>
  <si>
    <t>Net debt</t>
  </si>
  <si>
    <t>Customer Concentration (FY2024, S4)</t>
  </si>
  <si>
    <t>Customer / group</t>
  </si>
  <si>
    <t>% of net sales</t>
  </si>
  <si>
    <t>Implied INR cr</t>
  </si>
  <si>
    <t>Walmart</t>
  </si>
  <si>
    <t>Kellanova FY24 10-K customer concentration (S4)</t>
  </si>
  <si>
    <t>Top 5 customers</t>
  </si>
  <si>
    <t>Mars–Kellanova — Deal Terms &amp; Valuation</t>
  </si>
  <si>
    <t>Deal economics with live formulas. USD inputs (blue) sourced from S1/S2; INR conversions use FX = 83.97 (cell linked to Assumptions A1).</t>
  </si>
  <si>
    <t>Transaction Inputs (sourced)</t>
  </si>
  <si>
    <t>Value (USD)</t>
  </si>
  <si>
    <t>Value (INR)</t>
  </si>
  <si>
    <t>USD/sh</t>
  </si>
  <si>
    <t>$83.50 all-cash (S1, S2)</t>
  </si>
  <si>
    <t>Enterprise value / consideration</t>
  </si>
  <si>
    <t>USD mn</t>
  </si>
  <si>
    <t>$35.9bn incl. assumed net leverage (S1, S2)</t>
  </si>
  <si>
    <t>Debt financing (total)</t>
  </si>
  <si>
    <t>$31bn = 86.4% of financing (S1)</t>
  </si>
  <si>
    <t xml:space="preserve">  of which: Senior notes</t>
  </si>
  <si>
    <t>$26bn senior notes, 4.450%–5.800% coupons (S1, S5)</t>
  </si>
  <si>
    <t xml:space="preserve">  of which: Private placement notes</t>
  </si>
  <si>
    <t>$1bn-equiv. private placement (S1)</t>
  </si>
  <si>
    <t xml:space="preserve">  of which: Delayed-draw term loans</t>
  </si>
  <si>
    <t>$4bn delayed-draw term loans (S1)</t>
  </si>
  <si>
    <t>Cash / internal resources</t>
  </si>
  <si>
    <t>$4.9bn = 13.6% cash on hand (S1)</t>
  </si>
  <si>
    <t>LTM adjusted EBITDA (implied)</t>
  </si>
  <si>
    <t>Implied = EV ÷ 16.4x (A4)</t>
  </si>
  <si>
    <t>Derived Valuation Metrics (live formulas)</t>
  </si>
  <si>
    <t>Result</t>
  </si>
  <si>
    <t>Stated (S1, S2)</t>
  </si>
  <si>
    <t>EV ÷ implied EBITDA (≈16.4x) (S1)</t>
  </si>
  <si>
    <t>$31bn ÷ $35.9bn (S1)</t>
  </si>
  <si>
    <t>Cash-funded share of financing</t>
  </si>
  <si>
    <t>$4.9bn ÷ $35.9bn (S1)</t>
  </si>
  <si>
    <t>Senior-notes annual interest @5.14%</t>
  </si>
  <si>
    <t>$26bn × 5.14% wtd coupon → ₹ (S1, S5)</t>
  </si>
  <si>
    <t>EV in INR (₹ lakh crore)</t>
  </si>
  <si>
    <t>₹ lakh cr</t>
  </si>
  <si>
    <t>Consideration scale check</t>
  </si>
  <si>
    <t>Financing Mix &amp; Leverage Effect</t>
  </si>
  <si>
    <t>Financing tranche</t>
  </si>
  <si>
    <t>% of total</t>
  </si>
  <si>
    <t>Senior notes</t>
  </si>
  <si>
    <t>Private placement notes</t>
  </si>
  <si>
    <t>Delayed-draw term loans</t>
  </si>
  <si>
    <t>Cash on hand / internal</t>
  </si>
  <si>
    <t>Total financing</t>
  </si>
  <si>
    <t>Leverage Path (S&amp;P-noted, S1/S5)</t>
  </si>
  <si>
    <t>Leverage milestone</t>
  </si>
  <si>
    <t>Net debt / EBITDA (x)</t>
  </si>
  <si>
    <t>Note</t>
  </si>
  <si>
    <t>Mars pre-deal (FY2024)</t>
  </si>
  <si>
    <t>S&amp;P A+ pre-deal (S5)</t>
  </si>
  <si>
    <t>At close (~FY2025)</t>
  </si>
  <si>
    <t>S&amp;P downgrade A+→A (S5)</t>
  </si>
  <si>
    <t>Target by FY2027</t>
  </si>
  <si>
    <t>Cash-flow deleveraging target (S1)</t>
  </si>
  <si>
    <t>Synergy Assessment — Both Cases</t>
  </si>
  <si>
    <t>Expected vs actual/likely realisation, scored 1 (none) to 5 (fully realised). Mars success is execution-dependent; Dunzo synergies under-realised.</t>
  </si>
  <si>
    <t>Mars–Kellanova (Success — strategic &amp; scale synergy)</t>
  </si>
  <si>
    <t>Synergy Scorecard (chart data)</t>
  </si>
  <si>
    <t>Synergy category</t>
  </si>
  <si>
    <t>Expected synergy</t>
  </si>
  <si>
    <t>Actual / likely realisation</t>
  </si>
  <si>
    <t>Score (1-5)</t>
  </si>
  <si>
    <t>Category</t>
  </si>
  <si>
    <t>Mars</t>
  </si>
  <si>
    <t>Dunzo</t>
  </si>
  <si>
    <t>Scale to ~$36bn snacking revenue; procurement efficiencies; cash-flow-driven deleveraging (S1,S2).</t>
  </si>
  <si>
    <t>Strong rationale; realisation depends on deleveraging from ~4.0x to &lt;3.0x by FY27. Not seasoned at close.</t>
  </si>
  <si>
    <t>On track</t>
  </si>
  <si>
    <t>Complementary distribution, supply chain, R&amp;D across 180 markets; Africa &amp; LatAm white space (S1,S2).</t>
  </si>
  <si>
    <t>High potential; multi-country, unionised integration adds execution risk.</t>
  </si>
  <si>
    <t>Two new $1bn brands (Pringles, Cheez-It); stronger vs PepsiCo/Mondelez; Gen-Z/Millennial relevance (S1,S2).</t>
  </si>
  <si>
    <t>Clear and largely structural — realised at deal logic level immediately.</t>
  </si>
  <si>
    <t>Realised</t>
  </si>
  <si>
    <t>Revenue / cross-sell</t>
  </si>
  <si>
    <t>Brand monetisation via Mars' global infrastructure and investment capacity (S2).</t>
  </si>
  <si>
    <t>Credible medium-term upside; requires commercial integration.</t>
  </si>
  <si>
    <t>Revenue/Talent</t>
  </si>
  <si>
    <t>Average score</t>
  </si>
  <si>
    <t>Weighted toward strong strategic/scale synergy</t>
  </si>
  <si>
    <t>SUCCESS</t>
  </si>
  <si>
    <t>Reliance–Dunzo (Failure — synergies under-realised)</t>
  </si>
  <si>
    <t>Actual outcome</t>
  </si>
  <si>
    <t>Revenue growth, cross-sell, better monetisation, lower logistics cost via scale (S1).</t>
  </si>
  <si>
    <t>Cash burn &gt;₹100cr/month; FY23 loss ~₹1,800cr; revenue ~₹89–226cr could not offset losses (S8,S9,S10).</t>
  </si>
  <si>
    <t>Failed</t>
  </si>
  <si>
    <t>Shared dark stores, route optimisation, inventory &amp; warehousing integration (S1).</t>
  </si>
  <si>
    <t>Tech/inventory systems unaligned; integration incomplete; culture mismatch (S1).</t>
  </si>
  <si>
    <t>Under-realised</t>
  </si>
  <si>
    <t>National quick-commerce ecosystem; stronger vs Amazon/Blinkit; accelerate JioMart (S1).</t>
  </si>
  <si>
    <t>Competitors scaled faster; Dunzo lost relevance; Reliance refocused on own ecosystem (S1,S10).</t>
  </si>
  <si>
    <t>Talent / execution</t>
  </si>
  <si>
    <t>Retain logistics talent; fast execution (S1).</t>
  </si>
  <si>
    <t>Layoffs (150+), salary delays, leadership uncertainty (S8,S9).</t>
  </si>
  <si>
    <t>Synergies largely unrealised; stake written off (₹1,645cr)</t>
  </si>
  <si>
    <t>FAILURE</t>
  </si>
  <si>
    <t>Consideration Fairness — Mars–Kellanova</t>
  </si>
  <si>
    <t>Fairness framework and EBITDA-multiple sensitivity. All INR crore. EBITDA &amp; EV link to 05_Deal_Terms_Valuation; FX via Assumptions.</t>
  </si>
  <si>
    <t>Fairness Framework</t>
  </si>
  <si>
    <t>Fairness factor</t>
  </si>
  <si>
    <t>Observation</t>
  </si>
  <si>
    <t>Verdict / weight</t>
  </si>
  <si>
    <t>Deal multiple vs peers</t>
  </si>
  <si>
    <t>16.4x LTM adj. EBITDA vs packaged-food trading comps ~12–15x — at/above range (S1,S2).</t>
  </si>
  <si>
    <t>Rich but within control-premium norms</t>
  </si>
  <si>
    <t>Revenue / profit base</t>
  </si>
  <si>
    <t>FY24 net sales $12.7bn; operating profit $1.87bn; net income $1.34bn — solid, growing base (S3).</t>
  </si>
  <si>
    <t>Supports valuation</t>
  </si>
  <si>
    <t>Strategic control premium</t>
  </si>
  <si>
    <t>44% to 30-day VWAP; 33% to 52-week high — payment for 100% control + synergy option value (S1,S2).</t>
  </si>
  <si>
    <t>Justifiable for strategic buyer</t>
  </si>
  <si>
    <t>Synergy rationale</t>
  </si>
  <si>
    <t>Scale to ~$36bn snacking, 2 new $1bn brands, distribution/R&amp;D synergies (S1,S2).</t>
  </si>
  <si>
    <t>Strong qualitative support</t>
  </si>
  <si>
    <t>Financing capacity / leverage</t>
  </si>
  <si>
    <t>All-cash; $31bn debt; leverage ~4.0x peak → &lt;3.0x by FY27; S&amp;P A (S1,S5).</t>
  </si>
  <si>
    <t>Affordable for Mars' cash flows</t>
  </si>
  <si>
    <t>Risks</t>
  </si>
  <si>
    <t>Integration across 180 markets; Walmart concentration; deleveraging; regulatory (S4).</t>
  </si>
  <si>
    <t>Manageable, not eliminated</t>
  </si>
  <si>
    <t>Sensitivity — Implied Enterprise Value (INR crore) = Adj. EBITDA × Multiple</t>
  </si>
  <si>
    <t>Base LTM adj. EBITDA (USD mn)</t>
  </si>
  <si>
    <t>Implied $35.9bn ÷ 16.4x (A4)</t>
  </si>
  <si>
    <t>Base LTM adj. EBITDA (INR cr)</t>
  </si>
  <si>
    <t>Converted at FX 83.97 (A1)</t>
  </si>
  <si>
    <t>Implied EV (INR cr) Heat Grid</t>
  </si>
  <si>
    <t>EBITDA scenario \ Multiple →</t>
  </si>
  <si>
    <t>Downside (-15%)</t>
  </si>
  <si>
    <t>Base (implied)</t>
  </si>
  <si>
    <t>Deal EV ≈ ₹301,452 cr</t>
  </si>
  <si>
    <t>Upside (+15%)</t>
  </si>
  <si>
    <t>Actual deal consideration (EV, INR cr)</t>
  </si>
  <si>
    <t>At 16.4x (base EBITDA) the model reproduces the actual deal EV — confirming the consideration sits at the upper-mid of the multiple range. Justifiable, not cheap.</t>
  </si>
  <si>
    <t>Fairness Conclusion</t>
  </si>
  <si>
    <t>JUSTIFIABLE, NOT CHEAP. The ~₹3.01 lakh-crore consideration prices Kellanova at 16.4x LTM adjusted EBITDA and a 44% premium — above the ~12–15x packaged-food trading range. The sensitivity grid shows the deal EV is only matched at ~16.4x on base EBITDA (or ~14x on +15% EBITDA), confirming Mars paid a full strategic-control price. It is defensible because the premium buys 100% control, two new billion-dollar brands, a doubling of Mars Snacking, and synergy option value that standalone multiples do not capture — and Mars' private balance sheet can fund and deleverage the all-cash structure. The fairness verdict is therefore positive but execution- and deleveraging-contingent.</t>
  </si>
  <si>
    <t>Assumptions, Sources &amp; Source Log</t>
  </si>
  <si>
    <t>Every sourced numerical line item in this workbook carries a Source ID (S##) referenced on its sheet. Conversions use the single FX assumption below.</t>
  </si>
  <si>
    <t>Key Assumptions</t>
  </si>
  <si>
    <t>Source ID</t>
  </si>
  <si>
    <t>Assumption</t>
  </si>
  <si>
    <t>Value / Basis</t>
  </si>
  <si>
    <t>Rationale</t>
  </si>
  <si>
    <t>Source &amp; URL</t>
  </si>
  <si>
    <t>Date accessed</t>
  </si>
  <si>
    <t>A1</t>
  </si>
  <si>
    <t>FX rate USD/INR</t>
  </si>
  <si>
    <t>83.97</t>
  </si>
  <si>
    <t>Deal announcement date 14-Aug-2024 daily rate; used for ALL USD→INR conversions</t>
  </si>
  <si>
    <t>INR per USD</t>
  </si>
  <si>
    <t>exchange-rates.org — USD/INR history Aug 2024 | https://www.exchange-rates.org/exchange-rate-history/usd-inr-2024</t>
  </si>
  <si>
    <t>23-Jun-2026</t>
  </si>
  <si>
    <t>A2</t>
  </si>
  <si>
    <t>INR crore definition</t>
  </si>
  <si>
    <t>1 crore = 10,000,000</t>
  </si>
  <si>
    <t>Indian numbering convention; principal display unit</t>
  </si>
  <si>
    <t>INR crore</t>
  </si>
  <si>
    <t>Standard Indian convention</t>
  </si>
  <si>
    <t>A3</t>
  </si>
  <si>
    <t>USD mn → INR crore factor</t>
  </si>
  <si>
    <t>FX(₹/USD) ÷ 10; converts USD million to INR crore (1 USD mn = ₹8.397 cr)</t>
  </si>
  <si>
    <t>ratio</t>
  </si>
  <si>
    <t>Derived from A1 (formula)</t>
  </si>
  <si>
    <t>A4</t>
  </si>
  <si>
    <t>Kellanova LTM adj. EBITDA (implied)</t>
  </si>
  <si>
    <t>Back-solved from $35.9bn EV ÷ 16.4x stated multiple = ~$2.19bn</t>
  </si>
  <si>
    <t>Implied from Mars/Kellanova deal metrics (S2)</t>
  </si>
  <si>
    <t>Source Log (all external &amp; attached sources)</t>
  </si>
  <si>
    <t>Fact / data used</t>
  </si>
  <si>
    <t>Sheet ref.</t>
  </si>
  <si>
    <t>Source title</t>
  </si>
  <si>
    <t>Publisher</t>
  </si>
  <si>
    <t>URL</t>
  </si>
  <si>
    <t>S1</t>
  </si>
  <si>
    <t>Deal terms narrative; $83.50/share; $35.9bn; 44% premium; 16.4x EBITDA; financing; PMI; Dunzo case</t>
  </si>
  <si>
    <t>All</t>
  </si>
  <si>
    <t>Task-5: M&amp;A Case Study (Mars-Kellanova &amp; Reliance-Dunzo)</t>
  </si>
  <si>
    <t>Romit Banerjee (attached PDF)</t>
  </si>
  <si>
    <t>uploaded_attachments/.../Task-5_Romit-Shivadhwaj.pdf</t>
  </si>
  <si>
    <t>S2</t>
  </si>
  <si>
    <t>Acquisition terms, rationale, premium, EBITDA multiple, 180 markets, ~23k employees</t>
  </si>
  <si>
    <t>02,03,05,06</t>
  </si>
  <si>
    <t>Mars to Acquire Kellanova (official announcement)</t>
  </si>
  <si>
    <t>Mars, Incorporated</t>
  </si>
  <si>
    <t>https://www.mars.com/news-and-stories/press-releases/mars-to-acquire-kellanova</t>
  </si>
  <si>
    <t>S3</t>
  </si>
  <si>
    <t>FY2024 &amp; FY2023 net sales, operating profit, net income, gross profit, cash, debt</t>
  </si>
  <si>
    <t>04,05</t>
  </si>
  <si>
    <t>Kellanova Reports Strong Results for Q4 &amp; Full Year 2024</t>
  </si>
  <si>
    <t>Kellanova (Q4-2024 results PDF)</t>
  </si>
  <si>
    <t>https://s203.q4cdn.com/897568180/files/doc_financials/2024/q4/K-Q4-2024-RESULTS.pdf</t>
  </si>
  <si>
    <t>S4</t>
  </si>
  <si>
    <t>Walmart 16% of net sales; top-5 customers 29%; employees; geographies; segments</t>
  </si>
  <si>
    <t>03,04,08</t>
  </si>
  <si>
    <t>Kellanova FY2024 Form 10-K</t>
  </si>
  <si>
    <t>Kellanova / SEC EDGAR</t>
  </si>
  <si>
    <t>https://www.sec.gov/Archives/edgar/data/1959348/000162828025007817/klg-20241228.htm</t>
  </si>
  <si>
    <t>S5</t>
  </si>
  <si>
    <t>$26bn senior notes; financing mix; leverage 1.2x→~4x→&lt;3x; S&amp;P downgrade A+→A</t>
  </si>
  <si>
    <t>05,07,08</t>
  </si>
  <si>
    <t>Mars debt financing / S&amp;P rating action (deal commentary)</t>
  </si>
  <si>
    <t>Mars, Inc. / S&amp;P Global Ratings (as cited in S1, S2)</t>
  </si>
  <si>
    <t>S6</t>
  </si>
  <si>
    <t>FX USD/INR = 83.97 on 14-Aug-2024</t>
  </si>
  <si>
    <t>All conversions</t>
  </si>
  <si>
    <t>USD to INR Exchange Rate History for 2024 (Aug 14 = 83.971)</t>
  </si>
  <si>
    <t>Exchange-Rates.org</t>
  </si>
  <si>
    <t>https://www.exchange-rates.org/exchange-rate-history/usd-inr-2024</t>
  </si>
  <si>
    <t>S7</t>
  </si>
  <si>
    <t>FX cross-check 14-Aug-2024 (83.879 / 83.96)</t>
  </si>
  <si>
    <t>Assumptions</t>
  </si>
  <si>
    <t>USD Historical Exchange Rates 14-Aug-2024</t>
  </si>
  <si>
    <t>X-Rates</t>
  </si>
  <si>
    <t>https://www.x-rates.com/historical/?from=USD&amp;amount=1&amp;date=2024-08-14</t>
  </si>
  <si>
    <t>S8</t>
  </si>
  <si>
    <t>Reliance wrote off ₹1,645 cr Dunzo investment; FY23 loss ₹1,800 cr; FY23 rev ₹226 cr; layoffs</t>
  </si>
  <si>
    <t>02,06</t>
  </si>
  <si>
    <t>Reliance Retail Writes Off ₹1645 Crore Dunzo Investment</t>
  </si>
  <si>
    <t>Angel One</t>
  </si>
  <si>
    <t>https://www.angelone.in/news/market-updates/reliance-retail-writes-off-1-645-crore-dunzo-investment-after-cash-burn-losses</t>
  </si>
  <si>
    <t>S9</t>
  </si>
  <si>
    <t>$200m / $240m round; 26% stake; Jan-2022; cash burn &gt;₹100cr/month; app offline</t>
  </si>
  <si>
    <t>Reliance writes off its $200 million investment in Dunzo</t>
  </si>
  <si>
    <t>The Economic Times</t>
  </si>
  <si>
    <t>https://economictimes.indiatimes.com/tech/startups/reliance-industries-writes-off-its-investment-in-dunzo/articleshow/123169856.cms</t>
  </si>
  <si>
    <t>S10</t>
  </si>
  <si>
    <t>Dunzo FY22 rev ₹54cr / loss ₹464cr; FY23 rev ₹89cr / loss ₹1,800cr+; store closures</t>
  </si>
  <si>
    <t>Dunzo's Downfall Explained</t>
  </si>
  <si>
    <t>Outlook Business</t>
  </si>
  <si>
    <t>https://www.outlookbusiness.com/start-up/e-commerce/dunzos-downfall-explained-what-led-reliance-to-write-off-entire-200-million-stake-in-start-up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</si>
</sst>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\x"/>
    <numFmt numFmtId="167" formatCode="0.000"/>
  </numFmts>
  <fonts count="2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20"/>
      <color rgb="FF1F3864"/>
      <name val="Calibri"/>
      <charset val="1"/>
    </font>
    <font>
      <b/>
      <sz val="13"/>
      <color rgb="FF2E4D7B"/>
      <name val="Calibri"/>
      <charset val="1"/>
    </font>
    <font>
      <sz val="11"/>
      <color rgb="FF404040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2"/>
      <color rgb="FFFFFFFF"/>
      <name val="Calibri"/>
      <charset val="1"/>
    </font>
    <font>
      <i/>
      <sz val="9"/>
      <color rgb="FF404040"/>
      <name val="Calibri"/>
      <charset val="1"/>
    </font>
    <font>
      <b/>
      <sz val="16"/>
      <color rgb="FF1F3864"/>
      <name val="Calibri"/>
      <charset val="1"/>
    </font>
    <font>
      <b/>
      <sz val="10"/>
      <color rgb="FFFFFFFF"/>
      <name val="Calibri"/>
      <charset val="1"/>
    </font>
    <font>
      <b/>
      <sz val="10"/>
      <color rgb="FF1F3864"/>
      <name val="Calibri"/>
      <charset val="1"/>
    </font>
    <font>
      <sz val="9"/>
      <color rgb="FF000000"/>
      <name val="Calibri"/>
      <charset val="1"/>
    </font>
    <font>
      <b/>
      <sz val="11"/>
      <color rgb="FF1F3864"/>
      <name val="Calibri"/>
      <charset val="1"/>
    </font>
    <font>
      <sz val="8"/>
      <color rgb="FF000000"/>
      <name val="Calibri"/>
      <charset val="1"/>
    </font>
    <font>
      <sz val="10"/>
      <color rgb="FF0000CC"/>
      <name val="Calibri"/>
      <charset val="1"/>
    </font>
    <font>
      <b/>
      <sz val="12"/>
      <color rgb="FF375623"/>
      <name val="Calibri"/>
      <charset val="1"/>
    </font>
    <font>
      <b/>
      <sz val="9"/>
      <color rgb="FF375623"/>
      <name val="Calibri"/>
      <charset val="1"/>
    </font>
    <font>
      <i/>
      <sz val="9"/>
      <color rgb="FF000000"/>
      <name val="Calibri"/>
      <charset val="1"/>
    </font>
    <font>
      <b/>
      <sz val="12"/>
      <color rgb="FFC00000"/>
      <name val="Calibri"/>
      <charset val="1"/>
    </font>
    <font>
      <b/>
      <sz val="9"/>
      <color rgb="FFC00000"/>
      <name val="Calibri"/>
      <charset val="1"/>
    </font>
    <font>
      <b/>
      <sz val="9"/>
      <color rgb="FF1F3864"/>
      <name val="Calibri"/>
      <charset val="1"/>
    </font>
    <font>
      <b/>
      <sz val="9"/>
      <color rgb="FFFFFFFF"/>
      <name val="Calibri"/>
      <charset val="1"/>
    </font>
    <font>
      <b/>
      <sz val="11"/>
      <color rgb="FFBF9000"/>
      <name val="Calibri"/>
      <charset val="1"/>
    </font>
    <font>
      <sz val="8"/>
      <color rgb="FF0563C1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4D7B"/>
      </patternFill>
    </fill>
    <fill>
      <patternFill patternType="solid">
        <fgColor rgb="FFBF9000"/>
        <bgColor rgb="FF808000"/>
      </patternFill>
    </fill>
    <fill>
      <patternFill patternType="solid">
        <fgColor rgb="FFD6DCE5"/>
        <bgColor rgb="FFD9D9D9"/>
      </patternFill>
    </fill>
    <fill>
      <patternFill patternType="solid">
        <fgColor rgb="FF2E4D7B"/>
        <bgColor rgb="FF1F3864"/>
      </patternFill>
    </fill>
    <fill>
      <patternFill patternType="solid">
        <fgColor rgb="FF375623"/>
        <bgColor rgb="FF404040"/>
      </patternFill>
    </fill>
    <fill>
      <patternFill patternType="solid">
        <fgColor rgb="FFC00000"/>
        <bgColor rgb="FF800000"/>
      </patternFill>
    </fill>
    <fill>
      <patternFill patternType="solid">
        <fgColor rgb="FFEAF0F7"/>
        <bgColor rgb="FFFFFFFF"/>
      </patternFill>
    </fill>
    <fill>
      <patternFill patternType="solid">
        <fgColor rgb="FFFFFFFF"/>
        <bgColor rgb="FFEAF0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1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7" fillId="2" borderId="0" xfId="0" applyFont="1" applyFill="1" applyAlignment="1">
      <alignment horizontal="left" vertical="center" indent="1"/>
    </xf>
    <xf numFmtId="0" fontId="5" fillId="0" borderId="2" xfId="0" applyFont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/>
    <xf numFmtId="0" fontId="1" fillId="2" borderId="0" xfId="0" applyFont="1" applyFill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9" fillId="0" borderId="0" xfId="0" applyFont="1"/>
    <xf numFmtId="0" fontId="8" fillId="0" borderId="0" xfId="0" applyFont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164" fontId="11" fillId="0" borderId="1" xfId="0" applyNumberFormat="1" applyFont="1" applyBorder="1" applyAlignment="1">
      <alignment horizontal="right" vertical="top" wrapText="1"/>
    </xf>
    <xf numFmtId="165" fontId="11" fillId="0" borderId="1" xfId="0" applyNumberFormat="1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  <xf numFmtId="0" fontId="10" fillId="6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13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3" fontId="5" fillId="0" borderId="1" xfId="0" applyNumberFormat="1" applyFont="1" applyBorder="1" applyAlignment="1">
      <alignment horizontal="right" vertical="top" wrapText="1"/>
    </xf>
    <xf numFmtId="164" fontId="5" fillId="0" borderId="1" xfId="0" applyNumberFormat="1" applyFont="1" applyBorder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4" fontId="15" fillId="0" borderId="1" xfId="0" applyNumberFormat="1" applyFont="1" applyBorder="1" applyAlignment="1">
      <alignment horizontal="right" vertical="top" wrapText="1"/>
    </xf>
    <xf numFmtId="0" fontId="12" fillId="0" borderId="1" xfId="0" applyFont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right" vertical="top" wrapText="1"/>
    </xf>
    <xf numFmtId="3" fontId="15" fillId="0" borderId="1" xfId="0" applyNumberFormat="1" applyFont="1" applyBorder="1" applyAlignment="1">
      <alignment horizontal="right" vertical="top" wrapText="1"/>
    </xf>
    <xf numFmtId="0" fontId="5" fillId="9" borderId="1" xfId="0" applyFont="1" applyFill="1" applyBorder="1" applyAlignment="1">
      <alignment horizontal="left" vertical="top" wrapText="1"/>
    </xf>
    <xf numFmtId="166" fontId="11" fillId="0" borderId="1" xfId="0" applyNumberFormat="1" applyFont="1" applyBorder="1" applyAlignment="1">
      <alignment horizontal="right" vertical="top" wrapText="1"/>
    </xf>
    <xf numFmtId="4" fontId="11" fillId="0" borderId="1" xfId="0" applyNumberFormat="1" applyFont="1" applyBorder="1" applyAlignment="1">
      <alignment horizontal="right" vertical="top" wrapText="1"/>
    </xf>
    <xf numFmtId="3" fontId="6" fillId="0" borderId="1" xfId="0" applyNumberFormat="1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10" fillId="5" borderId="1" xfId="0" applyFont="1" applyFill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wrapText="1"/>
    </xf>
    <xf numFmtId="165" fontId="16" fillId="0" borderId="1" xfId="0" applyNumberFormat="1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165" fontId="19" fillId="0" borderId="1" xfId="0" applyNumberFormat="1" applyFont="1" applyBorder="1" applyAlignment="1">
      <alignment horizontal="center" vertical="top" wrapText="1"/>
    </xf>
    <xf numFmtId="0" fontId="22" fillId="5" borderId="1" xfId="0" applyFont="1" applyFill="1" applyBorder="1" applyAlignment="1">
      <alignment horizontal="center" vertical="top" wrapText="1"/>
    </xf>
    <xf numFmtId="166" fontId="10" fillId="5" borderId="1" xfId="0" applyNumberFormat="1" applyFont="1" applyFill="1" applyBorder="1" applyAlignment="1">
      <alignment horizontal="center" vertical="top" wrapText="1"/>
    </xf>
    <xf numFmtId="3" fontId="23" fillId="0" borderId="1" xfId="0" applyNumberFormat="1" applyFont="1" applyBorder="1" applyAlignment="1">
      <alignment horizontal="right" vertical="top" wrapText="1"/>
    </xf>
    <xf numFmtId="0" fontId="6" fillId="8" borderId="1" xfId="0" applyFont="1" applyFill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167" fontId="5" fillId="0" borderId="1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EAF0F7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2E4D7B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Synergy Scorecard: Mars-Kellanova vs Reliance-Dunzo (1-5)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'06_Synergy_Assessment'!$I$6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rgbClr val="375623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'06_Synergy_Assessment'!$H$7:$H$10</c:f>
              <c:strCache>
                <c:ptCount val="4"/>
                <c:pt idx="0">
                  <c:v>Financial</c:v>
                </c:pt>
                <c:pt idx="1">
                  <c:v>Operational</c:v>
                </c:pt>
                <c:pt idx="2">
                  <c:v>Strategic</c:v>
                </c:pt>
                <c:pt idx="3">
                  <c:v>Revenue/Talent</c:v>
                </c:pt>
              </c:strCache>
            </c:strRef>
          </c:cat>
          <c:val>
            <c:numRef>
              <c:f>'06_Synergy_Assessment'!$I$7:$I$10</c:f>
              <c:numCache>
                <c:formatCode>0</c:formatCode>
                <c:ptCount val="4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A-FE41-AC81-65C567CF82F0}"/>
            </c:ext>
          </c:extLst>
        </c:ser>
        <c:ser>
          <c:idx val="1"/>
          <c:order val="1"/>
          <c:tx>
            <c:strRef>
              <c:f>'06_Synergy_Assessment'!$J$6</c:f>
              <c:strCache>
                <c:ptCount val="1"/>
                <c:pt idx="0">
                  <c:v>Dunzo</c:v>
                </c:pt>
              </c:strCache>
            </c:strRef>
          </c:tx>
          <c:spPr>
            <a:solidFill>
              <a:srgbClr val="C00000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'06_Synergy_Assessment'!$H$7:$H$10</c:f>
              <c:strCache>
                <c:ptCount val="4"/>
                <c:pt idx="0">
                  <c:v>Financial</c:v>
                </c:pt>
                <c:pt idx="1">
                  <c:v>Operational</c:v>
                </c:pt>
                <c:pt idx="2">
                  <c:v>Strategic</c:v>
                </c:pt>
                <c:pt idx="3">
                  <c:v>Revenue/Talent</c:v>
                </c:pt>
              </c:strCache>
            </c:strRef>
          </c:cat>
          <c:val>
            <c:numRef>
              <c:f>'06_Synergy_Assessment'!$J$7:$J$10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A-FE41-AC81-65C567CF8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35691"/>
        <c:axId val="7402026"/>
      </c:barChart>
      <c:catAx>
        <c:axId val="129356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Synergy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402026"/>
        <c:crosses val="autoZero"/>
        <c:auto val="1"/>
        <c:lblAlgn val="ctr"/>
        <c:lblOffset val="100"/>
        <c:noMultiLvlLbl val="0"/>
      </c:catAx>
      <c:valAx>
        <c:axId val="7402026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 (1=none, 5=fully realised)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29356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0</xdr:rowOff>
    </xdr:from>
    <xdr:to>
      <xdr:col>14</xdr:col>
      <xdr:colOff>212040</xdr:colOff>
      <xdr:row>17</xdr:row>
      <xdr:rowOff>289080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H17"/>
  <sheetViews>
    <sheetView showGridLines="0" zoomScaleNormal="100" workbookViewId="0">
      <selection activeCell="M6" sqref="M6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8" width="14" customWidth="1"/>
  </cols>
  <sheetData>
    <row r="1" spans="2:8" ht="7.5" customHeight="1" x14ac:dyDescent="0.2"/>
    <row r="2" spans="2:8" ht="24" customHeight="1" x14ac:dyDescent="0.2">
      <c r="B2" s="12" t="s">
        <v>0</v>
      </c>
      <c r="C2" s="12"/>
      <c r="D2" s="12"/>
      <c r="E2" s="12"/>
      <c r="F2" s="12"/>
      <c r="G2" s="12"/>
      <c r="H2" s="12"/>
    </row>
    <row r="4" spans="2:8" ht="26" x14ac:dyDescent="0.3">
      <c r="B4" s="11" t="s">
        <v>1</v>
      </c>
      <c r="C4" s="11"/>
      <c r="D4" s="11"/>
      <c r="E4" s="11"/>
      <c r="F4" s="11"/>
      <c r="G4" s="11"/>
      <c r="H4" s="11"/>
    </row>
    <row r="5" spans="2:8" ht="17.25" customHeight="1" x14ac:dyDescent="0.2">
      <c r="B5" s="10" t="s">
        <v>2</v>
      </c>
      <c r="C5" s="10"/>
      <c r="D5" s="10"/>
      <c r="E5" s="10"/>
      <c r="F5" s="10"/>
      <c r="G5" s="10"/>
      <c r="H5" s="10"/>
    </row>
    <row r="6" spans="2:8" ht="28.25" customHeight="1" x14ac:dyDescent="0.2">
      <c r="B6" s="9" t="s">
        <v>3</v>
      </c>
      <c r="C6" s="9"/>
      <c r="D6" s="9"/>
      <c r="E6" s="9"/>
      <c r="F6" s="9"/>
      <c r="G6" s="9"/>
      <c r="H6" s="9"/>
    </row>
    <row r="8" spans="2:8" ht="3.75" customHeight="1" x14ac:dyDescent="0.2">
      <c r="B8" s="8"/>
      <c r="C8" s="8"/>
      <c r="D8" s="8"/>
      <c r="E8" s="8"/>
      <c r="F8" s="8"/>
      <c r="G8" s="8"/>
      <c r="H8" s="8"/>
    </row>
    <row r="10" spans="2:8" ht="18" customHeight="1" x14ac:dyDescent="0.2">
      <c r="B10" s="13" t="s">
        <v>4</v>
      </c>
      <c r="C10" s="7" t="s">
        <v>5</v>
      </c>
      <c r="D10" s="7"/>
      <c r="E10" s="7"/>
      <c r="F10" s="7"/>
      <c r="G10" s="7"/>
      <c r="H10" s="7"/>
    </row>
    <row r="11" spans="2:8" ht="18" customHeight="1" x14ac:dyDescent="0.2">
      <c r="B11" s="13" t="s">
        <v>6</v>
      </c>
      <c r="C11" s="7" t="s">
        <v>7</v>
      </c>
      <c r="D11" s="7"/>
      <c r="E11" s="7"/>
      <c r="F11" s="7"/>
      <c r="G11" s="7"/>
      <c r="H11" s="7"/>
    </row>
    <row r="12" spans="2:8" ht="18" customHeight="1" x14ac:dyDescent="0.2">
      <c r="B12" s="13" t="s">
        <v>8</v>
      </c>
      <c r="C12" s="7" t="s">
        <v>9</v>
      </c>
      <c r="D12" s="7"/>
      <c r="E12" s="7"/>
      <c r="F12" s="7"/>
      <c r="G12" s="7"/>
      <c r="H12" s="7"/>
    </row>
    <row r="14" spans="2:8" ht="21.75" customHeight="1" x14ac:dyDescent="0.2">
      <c r="B14" s="6" t="s">
        <v>10</v>
      </c>
      <c r="C14" s="6"/>
      <c r="D14" s="6"/>
      <c r="E14" s="6"/>
      <c r="F14" s="6"/>
      <c r="G14" s="6"/>
      <c r="H14" s="6"/>
    </row>
    <row r="15" spans="2:8" ht="51.75" customHeight="1" x14ac:dyDescent="0.2">
      <c r="B15" s="5" t="s">
        <v>11</v>
      </c>
      <c r="C15" s="5"/>
      <c r="D15" s="5"/>
      <c r="E15" s="5"/>
      <c r="F15" s="5"/>
      <c r="G15" s="5"/>
      <c r="H15" s="5"/>
    </row>
    <row r="16" spans="2:8" x14ac:dyDescent="0.2">
      <c r="B16" s="5"/>
      <c r="C16" s="5"/>
      <c r="D16" s="5"/>
      <c r="E16" s="5"/>
      <c r="F16" s="5"/>
      <c r="G16" s="5"/>
      <c r="H16" s="5"/>
    </row>
    <row r="17" spans="2:8" x14ac:dyDescent="0.2">
      <c r="B17" s="5"/>
      <c r="C17" s="5"/>
      <c r="D17" s="5"/>
      <c r="E17" s="5"/>
      <c r="F17" s="5"/>
      <c r="G17" s="5"/>
      <c r="H17" s="5"/>
    </row>
  </sheetData>
  <mergeCells count="10">
    <mergeCell ref="C12:H12"/>
    <mergeCell ref="B14:H14"/>
    <mergeCell ref="B15:H17"/>
    <mergeCell ref="C10:H10"/>
    <mergeCell ref="C11:H11"/>
    <mergeCell ref="B2:H2"/>
    <mergeCell ref="B4:H4"/>
    <mergeCell ref="B5:H5"/>
    <mergeCell ref="B6:H6"/>
    <mergeCell ref="B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H28"/>
  <sheetViews>
    <sheetView showGridLines="0" topLeftCell="A16" zoomScaleNormal="100" workbookViewId="0"/>
  </sheetViews>
  <sheetFormatPr baseColWidth="10" defaultColWidth="8.6640625" defaultRowHeight="15" x14ac:dyDescent="0.2"/>
  <cols>
    <col min="1" max="1" width="3" customWidth="1"/>
    <col min="2" max="2" width="24" customWidth="1"/>
    <col min="3" max="4" width="38" customWidth="1"/>
    <col min="5" max="5" width="60" customWidth="1"/>
    <col min="6" max="8" width="16" customWidth="1"/>
  </cols>
  <sheetData>
    <row r="1" spans="2:8" ht="7.5" customHeight="1" x14ac:dyDescent="0.2"/>
    <row r="2" spans="2:8" ht="21" x14ac:dyDescent="0.25">
      <c r="B2" s="14" t="s">
        <v>12</v>
      </c>
    </row>
    <row r="3" spans="2:8" ht="52" x14ac:dyDescent="0.2">
      <c r="B3" s="15" t="s">
        <v>13</v>
      </c>
    </row>
    <row r="5" spans="2:8" ht="21.75" customHeight="1" x14ac:dyDescent="0.2">
      <c r="B5" s="6" t="s">
        <v>14</v>
      </c>
      <c r="C5" s="6"/>
      <c r="D5" s="6"/>
      <c r="E5" s="6"/>
      <c r="F5" s="6"/>
      <c r="G5" s="6"/>
      <c r="H5" s="6"/>
    </row>
    <row r="6" spans="2:8" ht="30" customHeight="1" x14ac:dyDescent="0.2">
      <c r="B6" s="16" t="s">
        <v>15</v>
      </c>
      <c r="C6" s="16" t="s">
        <v>16</v>
      </c>
      <c r="D6" s="16" t="s">
        <v>17</v>
      </c>
      <c r="E6" s="16" t="s">
        <v>18</v>
      </c>
    </row>
    <row r="7" spans="2:8" ht="27.75" customHeight="1" x14ac:dyDescent="0.2">
      <c r="B7" s="13" t="s">
        <v>19</v>
      </c>
      <c r="C7" s="17">
        <f>35.9*1000*'08_Assumptions_Sources'!$D$9</f>
        <v>301452.3</v>
      </c>
      <c r="D7" s="18" t="s">
        <v>20</v>
      </c>
      <c r="E7" s="4" t="s">
        <v>21</v>
      </c>
      <c r="F7" s="4"/>
      <c r="G7" s="4"/>
      <c r="H7" s="4"/>
    </row>
    <row r="8" spans="2:8" ht="18" customHeight="1" x14ac:dyDescent="0.2">
      <c r="B8" s="13" t="s">
        <v>22</v>
      </c>
      <c r="C8" s="17">
        <f>83.5*'08_Assumptions_Sources'!$D$7</f>
        <v>7011.4949999999999</v>
      </c>
      <c r="D8" s="18" t="s">
        <v>23</v>
      </c>
      <c r="E8" s="4" t="s">
        <v>24</v>
      </c>
      <c r="F8" s="4"/>
      <c r="G8" s="4"/>
      <c r="H8" s="4"/>
    </row>
    <row r="9" spans="2:8" ht="18" customHeight="1" x14ac:dyDescent="0.2">
      <c r="B9" s="13" t="s">
        <v>25</v>
      </c>
      <c r="C9" s="20">
        <v>0.44</v>
      </c>
      <c r="D9" s="18" t="s">
        <v>26</v>
      </c>
      <c r="E9" s="4" t="s">
        <v>27</v>
      </c>
      <c r="F9" s="4"/>
      <c r="G9" s="4"/>
      <c r="H9" s="4"/>
    </row>
    <row r="10" spans="2:8" ht="18" customHeight="1" x14ac:dyDescent="0.2">
      <c r="B10" s="13" t="s">
        <v>28</v>
      </c>
      <c r="C10" s="20">
        <v>0.33</v>
      </c>
      <c r="D10" s="18" t="s">
        <v>26</v>
      </c>
      <c r="E10" s="4" t="s">
        <v>29</v>
      </c>
      <c r="F10" s="4"/>
      <c r="G10" s="4"/>
      <c r="H10" s="4"/>
    </row>
    <row r="11" spans="2:8" ht="18" customHeight="1" x14ac:dyDescent="0.2">
      <c r="B11" s="13" t="s">
        <v>30</v>
      </c>
      <c r="C11" s="21">
        <v>16.399999999999999</v>
      </c>
      <c r="D11" s="18" t="s">
        <v>31</v>
      </c>
      <c r="E11" s="4" t="s">
        <v>32</v>
      </c>
      <c r="F11" s="4"/>
      <c r="G11" s="4"/>
      <c r="H11" s="4"/>
    </row>
    <row r="12" spans="2:8" ht="18" customHeight="1" x14ac:dyDescent="0.2">
      <c r="B12" s="13" t="s">
        <v>33</v>
      </c>
      <c r="C12" s="20">
        <v>0.86399999999999999</v>
      </c>
      <c r="D12" s="18" t="s">
        <v>26</v>
      </c>
      <c r="E12" s="4" t="s">
        <v>34</v>
      </c>
      <c r="F12" s="4"/>
      <c r="G12" s="4"/>
      <c r="H12" s="4"/>
    </row>
    <row r="14" spans="2:8" ht="21.75" customHeight="1" x14ac:dyDescent="0.2">
      <c r="B14" s="6" t="s">
        <v>35</v>
      </c>
      <c r="C14" s="6"/>
      <c r="D14" s="6"/>
      <c r="E14" s="6"/>
      <c r="F14" s="6"/>
      <c r="G14" s="6"/>
      <c r="H14" s="6"/>
    </row>
    <row r="15" spans="2:8" ht="30" customHeight="1" x14ac:dyDescent="0.2">
      <c r="B15" s="16" t="s">
        <v>36</v>
      </c>
      <c r="C15" s="16" t="s">
        <v>37</v>
      </c>
      <c r="D15" s="16" t="s">
        <v>38</v>
      </c>
    </row>
    <row r="16" spans="2:8" ht="42" customHeight="1" x14ac:dyDescent="0.2">
      <c r="B16" s="22" t="s">
        <v>39</v>
      </c>
      <c r="C16" s="23" t="s">
        <v>40</v>
      </c>
      <c r="D16" s="3" t="s">
        <v>41</v>
      </c>
      <c r="E16" s="3"/>
      <c r="F16" s="3"/>
      <c r="G16" s="3"/>
      <c r="H16" s="3"/>
    </row>
    <row r="17" spans="2:8" ht="42" customHeight="1" x14ac:dyDescent="0.2">
      <c r="B17" s="22" t="s">
        <v>42</v>
      </c>
      <c r="C17" s="24" t="s">
        <v>43</v>
      </c>
      <c r="D17" s="3" t="s">
        <v>44</v>
      </c>
      <c r="E17" s="3"/>
      <c r="F17" s="3"/>
      <c r="G17" s="3"/>
      <c r="H17" s="3"/>
    </row>
    <row r="19" spans="2:8" ht="21.75" customHeight="1" x14ac:dyDescent="0.2">
      <c r="B19" s="6" t="s">
        <v>45</v>
      </c>
      <c r="C19" s="6"/>
      <c r="D19" s="6"/>
      <c r="E19" s="6"/>
      <c r="F19" s="6"/>
      <c r="G19" s="6"/>
      <c r="H19" s="6"/>
    </row>
    <row r="20" spans="2:8" ht="30" customHeight="1" x14ac:dyDescent="0.2">
      <c r="B20" s="16" t="s">
        <v>46</v>
      </c>
      <c r="C20" s="16" t="s">
        <v>47</v>
      </c>
      <c r="D20" s="16" t="s">
        <v>48</v>
      </c>
    </row>
    <row r="21" spans="2:8" ht="42" customHeight="1" x14ac:dyDescent="0.2">
      <c r="B21" s="13" t="s">
        <v>49</v>
      </c>
      <c r="C21" s="3" t="s">
        <v>50</v>
      </c>
      <c r="D21" s="3"/>
      <c r="E21" s="3"/>
      <c r="F21" s="3" t="s">
        <v>51</v>
      </c>
      <c r="G21" s="3"/>
      <c r="H21" s="3"/>
    </row>
    <row r="22" spans="2:8" ht="42" customHeight="1" x14ac:dyDescent="0.2">
      <c r="B22" s="13" t="s">
        <v>52</v>
      </c>
      <c r="C22" s="3" t="s">
        <v>53</v>
      </c>
      <c r="D22" s="3"/>
      <c r="E22" s="3"/>
      <c r="F22" s="3" t="s">
        <v>54</v>
      </c>
      <c r="G22" s="3"/>
      <c r="H22" s="3"/>
    </row>
    <row r="23" spans="2:8" ht="42" customHeight="1" x14ac:dyDescent="0.2">
      <c r="B23" s="13" t="s">
        <v>55</v>
      </c>
      <c r="C23" s="3" t="s">
        <v>56</v>
      </c>
      <c r="D23" s="3"/>
      <c r="E23" s="3"/>
      <c r="F23" s="3" t="s">
        <v>57</v>
      </c>
      <c r="G23" s="3"/>
      <c r="H23" s="3"/>
    </row>
    <row r="25" spans="2:8" ht="21.75" customHeight="1" x14ac:dyDescent="0.2">
      <c r="B25" s="6" t="s">
        <v>58</v>
      </c>
      <c r="C25" s="6"/>
      <c r="D25" s="6"/>
      <c r="E25" s="6"/>
      <c r="F25" s="6"/>
      <c r="G25" s="6"/>
      <c r="H25" s="6"/>
    </row>
    <row r="26" spans="2:8" ht="85.5" customHeight="1" x14ac:dyDescent="0.2">
      <c r="B26" s="5" t="s">
        <v>59</v>
      </c>
      <c r="C26" s="5"/>
      <c r="D26" s="5"/>
      <c r="E26" s="5"/>
      <c r="F26" s="5"/>
      <c r="G26" s="5"/>
      <c r="H26" s="5"/>
    </row>
    <row r="27" spans="2:8" x14ac:dyDescent="0.2">
      <c r="B27" s="5"/>
      <c r="C27" s="5"/>
      <c r="D27" s="5"/>
      <c r="E27" s="5"/>
      <c r="F27" s="5"/>
      <c r="G27" s="5"/>
      <c r="H27" s="5"/>
    </row>
    <row r="28" spans="2:8" x14ac:dyDescent="0.2">
      <c r="B28" s="5"/>
      <c r="C28" s="5"/>
      <c r="D28" s="5"/>
      <c r="E28" s="5"/>
      <c r="F28" s="5"/>
      <c r="G28" s="5"/>
      <c r="H28" s="5"/>
    </row>
  </sheetData>
  <mergeCells count="19">
    <mergeCell ref="C23:E23"/>
    <mergeCell ref="F23:H23"/>
    <mergeCell ref="B25:H25"/>
    <mergeCell ref="B26:H28"/>
    <mergeCell ref="B19:H19"/>
    <mergeCell ref="C21:E21"/>
    <mergeCell ref="F21:H21"/>
    <mergeCell ref="C22:E22"/>
    <mergeCell ref="F22:H22"/>
    <mergeCell ref="E11:H11"/>
    <mergeCell ref="E12:H12"/>
    <mergeCell ref="B14:H14"/>
    <mergeCell ref="D16:H16"/>
    <mergeCell ref="D17:H17"/>
    <mergeCell ref="B5:H5"/>
    <mergeCell ref="E7:H7"/>
    <mergeCell ref="E8:H8"/>
    <mergeCell ref="E9:H9"/>
    <mergeCell ref="E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B1:D18"/>
  <sheetViews>
    <sheetView showGridLines="0" zoomScaleNormal="100" workbookViewId="0">
      <pane xSplit="1" ySplit="6" topLeftCell="B9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4" width="40" customWidth="1"/>
  </cols>
  <sheetData>
    <row r="1" spans="2:4" ht="7.5" customHeight="1" x14ac:dyDescent="0.2"/>
    <row r="2" spans="2:4" ht="21" x14ac:dyDescent="0.25">
      <c r="B2" s="14" t="s">
        <v>60</v>
      </c>
    </row>
    <row r="3" spans="2:4" ht="52" x14ac:dyDescent="0.2">
      <c r="B3" s="15" t="s">
        <v>61</v>
      </c>
    </row>
    <row r="5" spans="2:4" ht="21.75" customHeight="1" x14ac:dyDescent="0.2">
      <c r="B5" s="6" t="s">
        <v>62</v>
      </c>
      <c r="C5" s="6"/>
      <c r="D5" s="6"/>
    </row>
    <row r="6" spans="2:4" ht="30" customHeight="1" x14ac:dyDescent="0.2">
      <c r="B6" s="16" t="s">
        <v>63</v>
      </c>
      <c r="C6" s="25" t="s">
        <v>64</v>
      </c>
      <c r="D6" s="26" t="s">
        <v>65</v>
      </c>
    </row>
    <row r="7" spans="2:4" ht="33.75" customHeight="1" x14ac:dyDescent="0.2">
      <c r="B7" s="13" t="s">
        <v>66</v>
      </c>
      <c r="C7" s="27" t="s">
        <v>67</v>
      </c>
      <c r="D7" s="27" t="s">
        <v>68</v>
      </c>
    </row>
    <row r="8" spans="2:4" ht="33.75" customHeight="1" x14ac:dyDescent="0.2">
      <c r="B8" s="13" t="s">
        <v>69</v>
      </c>
      <c r="C8" s="27" t="s">
        <v>70</v>
      </c>
      <c r="D8" s="27" t="s">
        <v>71</v>
      </c>
    </row>
    <row r="9" spans="2:4" ht="33.75" customHeight="1" x14ac:dyDescent="0.2">
      <c r="B9" s="13" t="s">
        <v>72</v>
      </c>
      <c r="C9" s="27" t="s">
        <v>73</v>
      </c>
      <c r="D9" s="27" t="s">
        <v>74</v>
      </c>
    </row>
    <row r="10" spans="2:4" ht="33.75" customHeight="1" x14ac:dyDescent="0.2">
      <c r="B10" s="13" t="s">
        <v>75</v>
      </c>
      <c r="C10" s="27" t="s">
        <v>76</v>
      </c>
      <c r="D10" s="27" t="s">
        <v>77</v>
      </c>
    </row>
    <row r="11" spans="2:4" ht="33.75" customHeight="1" x14ac:dyDescent="0.2">
      <c r="B11" s="13" t="s">
        <v>78</v>
      </c>
      <c r="C11" s="27" t="s">
        <v>79</v>
      </c>
      <c r="D11" s="27" t="s">
        <v>80</v>
      </c>
    </row>
    <row r="12" spans="2:4" ht="33.75" customHeight="1" x14ac:dyDescent="0.2">
      <c r="B12" s="13" t="s">
        <v>81</v>
      </c>
      <c r="C12" s="27" t="s">
        <v>82</v>
      </c>
      <c r="D12" s="27" t="s">
        <v>83</v>
      </c>
    </row>
    <row r="13" spans="2:4" ht="33.75" customHeight="1" x14ac:dyDescent="0.2">
      <c r="B13" s="13" t="s">
        <v>84</v>
      </c>
      <c r="C13" s="27" t="s">
        <v>85</v>
      </c>
      <c r="D13" s="27" t="s">
        <v>86</v>
      </c>
    </row>
    <row r="14" spans="2:4" ht="33.75" customHeight="1" x14ac:dyDescent="0.2">
      <c r="B14" s="13" t="s">
        <v>87</v>
      </c>
      <c r="C14" s="27" t="s">
        <v>88</v>
      </c>
      <c r="D14" s="27" t="s">
        <v>89</v>
      </c>
    </row>
    <row r="15" spans="2:4" ht="33.75" customHeight="1" x14ac:dyDescent="0.2">
      <c r="B15" s="13" t="s">
        <v>90</v>
      </c>
      <c r="C15" s="27" t="s">
        <v>91</v>
      </c>
      <c r="D15" s="27" t="s">
        <v>92</v>
      </c>
    </row>
    <row r="16" spans="2:4" ht="33.75" customHeight="1" x14ac:dyDescent="0.2">
      <c r="B16" s="13" t="s">
        <v>93</v>
      </c>
      <c r="C16" s="27" t="s">
        <v>94</v>
      </c>
      <c r="D16" s="27" t="s">
        <v>95</v>
      </c>
    </row>
    <row r="17" spans="2:4" ht="33.75" customHeight="1" x14ac:dyDescent="0.2">
      <c r="B17" s="13" t="s">
        <v>96</v>
      </c>
      <c r="C17" s="27" t="s">
        <v>97</v>
      </c>
      <c r="D17" s="27" t="s">
        <v>98</v>
      </c>
    </row>
    <row r="18" spans="2:4" ht="33.75" customHeight="1" x14ac:dyDescent="0.2">
      <c r="B18" s="13" t="s">
        <v>99</v>
      </c>
      <c r="C18" s="27" t="s">
        <v>100</v>
      </c>
      <c r="D18" s="27" t="s">
        <v>101</v>
      </c>
    </row>
  </sheetData>
  <mergeCells count="1">
    <mergeCell ref="B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B1:C13"/>
  <sheetViews>
    <sheetView showGridLines="0" topLeftCell="A8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3" width="78" customWidth="1"/>
  </cols>
  <sheetData>
    <row r="1" spans="2:3" ht="7.5" customHeight="1" x14ac:dyDescent="0.2"/>
    <row r="2" spans="2:3" ht="21" x14ac:dyDescent="0.25">
      <c r="B2" s="14" t="s">
        <v>102</v>
      </c>
    </row>
    <row r="3" spans="2:3" ht="65" x14ac:dyDescent="0.2">
      <c r="B3" s="15" t="s">
        <v>103</v>
      </c>
    </row>
    <row r="5" spans="2:3" ht="21.75" customHeight="1" x14ac:dyDescent="0.2">
      <c r="B5" s="6" t="s">
        <v>104</v>
      </c>
      <c r="C5" s="6"/>
    </row>
    <row r="6" spans="2:3" ht="30" customHeight="1" x14ac:dyDescent="0.2">
      <c r="B6" s="16" t="s">
        <v>105</v>
      </c>
      <c r="C6" s="16" t="s">
        <v>106</v>
      </c>
    </row>
    <row r="7" spans="2:3" ht="97.5" customHeight="1" x14ac:dyDescent="0.2">
      <c r="B7" s="28" t="s">
        <v>107</v>
      </c>
      <c r="C7" s="27" t="s">
        <v>108</v>
      </c>
    </row>
    <row r="8" spans="2:3" ht="84" customHeight="1" x14ac:dyDescent="0.2">
      <c r="B8" s="28" t="s">
        <v>109</v>
      </c>
      <c r="C8" s="27" t="s">
        <v>110</v>
      </c>
    </row>
    <row r="9" spans="2:3" ht="84" customHeight="1" x14ac:dyDescent="0.2">
      <c r="B9" s="28" t="s">
        <v>111</v>
      </c>
      <c r="C9" s="27" t="s">
        <v>112</v>
      </c>
    </row>
    <row r="10" spans="2:3" ht="84" customHeight="1" x14ac:dyDescent="0.2">
      <c r="B10" s="28" t="s">
        <v>113</v>
      </c>
      <c r="C10" s="27" t="s">
        <v>114</v>
      </c>
    </row>
    <row r="11" spans="2:3" ht="84" customHeight="1" x14ac:dyDescent="0.2">
      <c r="B11" s="28" t="s">
        <v>115</v>
      </c>
      <c r="C11" s="27" t="s">
        <v>116</v>
      </c>
    </row>
    <row r="12" spans="2:3" ht="84" customHeight="1" x14ac:dyDescent="0.2">
      <c r="B12" s="28" t="s">
        <v>117</v>
      </c>
      <c r="C12" s="27" t="s">
        <v>118</v>
      </c>
    </row>
    <row r="13" spans="2:3" ht="84" customHeight="1" x14ac:dyDescent="0.2">
      <c r="B13" s="28" t="s">
        <v>119</v>
      </c>
      <c r="C13" s="27" t="s">
        <v>120</v>
      </c>
    </row>
  </sheetData>
  <mergeCells count="1"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B1:H28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4" customWidth="1"/>
    <col min="3" max="3" width="14" customWidth="1"/>
    <col min="4" max="4" width="16" customWidth="1"/>
    <col min="5" max="6" width="15" customWidth="1"/>
    <col min="7" max="7" width="12" customWidth="1"/>
    <col min="8" max="8" width="40" customWidth="1"/>
  </cols>
  <sheetData>
    <row r="1" spans="2:8" ht="7.5" customHeight="1" x14ac:dyDescent="0.2"/>
    <row r="2" spans="2:8" ht="21" x14ac:dyDescent="0.25">
      <c r="B2" s="14" t="s">
        <v>121</v>
      </c>
    </row>
    <row r="3" spans="2:8" ht="52" x14ac:dyDescent="0.2">
      <c r="B3" s="15" t="s">
        <v>122</v>
      </c>
    </row>
    <row r="5" spans="2:8" ht="21.75" customHeight="1" x14ac:dyDescent="0.2">
      <c r="B5" s="6" t="s">
        <v>123</v>
      </c>
      <c r="C5" s="6"/>
      <c r="D5" s="6"/>
      <c r="E5" s="6"/>
      <c r="F5" s="6"/>
      <c r="G5" s="6"/>
      <c r="H5" s="6"/>
    </row>
    <row r="6" spans="2:8" ht="30" customHeight="1" x14ac:dyDescent="0.2">
      <c r="B6" s="16" t="s">
        <v>124</v>
      </c>
      <c r="C6" s="16" t="s">
        <v>125</v>
      </c>
      <c r="D6" s="16" t="s">
        <v>126</v>
      </c>
      <c r="E6" s="16" t="s">
        <v>127</v>
      </c>
      <c r="F6" s="16" t="s">
        <v>128</v>
      </c>
      <c r="G6" s="16" t="s">
        <v>129</v>
      </c>
      <c r="H6" s="16" t="s">
        <v>130</v>
      </c>
    </row>
    <row r="7" spans="2:8" ht="18" customHeight="1" x14ac:dyDescent="0.2">
      <c r="B7" s="29" t="s">
        <v>131</v>
      </c>
      <c r="C7" s="30">
        <v>13122</v>
      </c>
      <c r="D7" s="30">
        <v>12749</v>
      </c>
      <c r="E7" s="30">
        <f>C7*'08_Assumptions_Sources'!$D$9</f>
        <v>110185.43400000001</v>
      </c>
      <c r="F7" s="30">
        <f>D7*'08_Assumptions_Sources'!$D$9</f>
        <v>107053.353</v>
      </c>
      <c r="G7" s="31">
        <f>(F7-E7)/E7</f>
        <v>-2.8425544886450285E-2</v>
      </c>
      <c r="H7" s="32" t="s">
        <v>132</v>
      </c>
    </row>
    <row r="8" spans="2:8" ht="18" customHeight="1" x14ac:dyDescent="0.2">
      <c r="B8" s="29" t="s">
        <v>133</v>
      </c>
      <c r="C8" s="30">
        <v>4283</v>
      </c>
      <c r="D8" s="30">
        <v>4544</v>
      </c>
      <c r="E8" s="30">
        <f>C8*'08_Assumptions_Sources'!$D$9</f>
        <v>35964.351000000002</v>
      </c>
      <c r="F8" s="30">
        <f>D8*'08_Assumptions_Sources'!$D$9</f>
        <v>38155.968000000001</v>
      </c>
      <c r="G8" s="31">
        <f>(F8-E8)/E8</f>
        <v>6.0938594443147275E-2</v>
      </c>
      <c r="H8" s="32" t="s">
        <v>132</v>
      </c>
    </row>
    <row r="9" spans="2:8" ht="18" customHeight="1" x14ac:dyDescent="0.2">
      <c r="B9" s="29" t="s">
        <v>134</v>
      </c>
      <c r="C9" s="30">
        <v>1505</v>
      </c>
      <c r="D9" s="30">
        <v>1873</v>
      </c>
      <c r="E9" s="30">
        <f>C9*'08_Assumptions_Sources'!$D$9</f>
        <v>12637.485000000001</v>
      </c>
      <c r="F9" s="30">
        <f>D9*'08_Assumptions_Sources'!$D$9</f>
        <v>15727.581</v>
      </c>
      <c r="G9" s="31">
        <f>(F9-E9)/E9</f>
        <v>0.24451827242524912</v>
      </c>
      <c r="H9" s="32" t="s">
        <v>132</v>
      </c>
    </row>
    <row r="10" spans="2:8" ht="18" customHeight="1" x14ac:dyDescent="0.2">
      <c r="B10" s="29" t="s">
        <v>135</v>
      </c>
      <c r="C10" s="30">
        <v>951</v>
      </c>
      <c r="D10" s="30">
        <v>1343</v>
      </c>
      <c r="E10" s="30">
        <f>C10*'08_Assumptions_Sources'!$D$9</f>
        <v>7985.5470000000005</v>
      </c>
      <c r="F10" s="30">
        <f>D10*'08_Assumptions_Sources'!$D$9</f>
        <v>11277.171</v>
      </c>
      <c r="G10" s="31">
        <f>(F10-E10)/E10</f>
        <v>0.41219768664563611</v>
      </c>
      <c r="H10" s="32" t="s">
        <v>132</v>
      </c>
    </row>
    <row r="11" spans="2:8" ht="18" customHeight="1" x14ac:dyDescent="0.2">
      <c r="B11" s="29" t="s">
        <v>136</v>
      </c>
      <c r="C11" s="18" t="s">
        <v>137</v>
      </c>
      <c r="D11" s="30">
        <v>2188</v>
      </c>
      <c r="E11" s="18" t="s">
        <v>137</v>
      </c>
      <c r="F11" s="30">
        <f>D11*'08_Assumptions_Sources'!$D$9</f>
        <v>18372.636000000002</v>
      </c>
      <c r="G11" s="18" t="s">
        <v>137</v>
      </c>
      <c r="H11" s="32" t="s">
        <v>138</v>
      </c>
    </row>
    <row r="13" spans="2:8" ht="21.75" customHeight="1" x14ac:dyDescent="0.2">
      <c r="B13" s="6" t="s">
        <v>139</v>
      </c>
      <c r="C13" s="6"/>
      <c r="D13" s="6"/>
      <c r="E13" s="6"/>
      <c r="F13" s="6"/>
      <c r="G13" s="6"/>
      <c r="H13" s="6"/>
    </row>
    <row r="14" spans="2:8" ht="30" customHeight="1" x14ac:dyDescent="0.2">
      <c r="B14" s="16" t="s">
        <v>140</v>
      </c>
      <c r="C14" s="16" t="s">
        <v>141</v>
      </c>
      <c r="D14" s="16" t="s">
        <v>142</v>
      </c>
      <c r="E14" s="16" t="s">
        <v>143</v>
      </c>
      <c r="F14" s="16"/>
      <c r="G14" s="16"/>
      <c r="H14" s="16" t="s">
        <v>144</v>
      </c>
    </row>
    <row r="15" spans="2:8" ht="18" customHeight="1" x14ac:dyDescent="0.2">
      <c r="B15" s="13" t="s">
        <v>145</v>
      </c>
      <c r="C15" s="31">
        <f>C8/C7</f>
        <v>0.32639841487578114</v>
      </c>
      <c r="D15" s="31">
        <f>D8/D7</f>
        <v>0.35642011138128482</v>
      </c>
      <c r="E15" s="31">
        <f>(D8/D7-C8/C7)</f>
        <v>3.0021696505503681E-2</v>
      </c>
      <c r="F15" s="7"/>
      <c r="G15" s="7"/>
      <c r="H15" s="19" t="s">
        <v>146</v>
      </c>
    </row>
    <row r="16" spans="2:8" ht="18" customHeight="1" x14ac:dyDescent="0.2">
      <c r="B16" s="13" t="s">
        <v>147</v>
      </c>
      <c r="C16" s="31">
        <f>C9/C7</f>
        <v>0.11469288218259412</v>
      </c>
      <c r="D16" s="31">
        <f>D9/D7</f>
        <v>0.14691348341046356</v>
      </c>
      <c r="E16" s="31">
        <f>(D9/D7-C9/C7)</f>
        <v>3.2220601227869447E-2</v>
      </c>
      <c r="F16" s="7"/>
      <c r="G16" s="7"/>
      <c r="H16" s="19" t="s">
        <v>148</v>
      </c>
    </row>
    <row r="17" spans="2:8" ht="18" customHeight="1" x14ac:dyDescent="0.2">
      <c r="B17" s="13" t="s">
        <v>149</v>
      </c>
      <c r="C17" s="31">
        <f>C10/C7</f>
        <v>7.2473708276177412E-2</v>
      </c>
      <c r="D17" s="31">
        <f>D10/D7</f>
        <v>0.10534159541924856</v>
      </c>
      <c r="E17" s="31">
        <f>(D10/D7-C10/C7)</f>
        <v>3.2867887143071151E-2</v>
      </c>
      <c r="F17" s="7"/>
      <c r="G17" s="7"/>
      <c r="H17" s="19" t="s">
        <v>150</v>
      </c>
    </row>
    <row r="19" spans="2:8" ht="21.75" customHeight="1" x14ac:dyDescent="0.2">
      <c r="B19" s="6" t="s">
        <v>151</v>
      </c>
      <c r="C19" s="6"/>
      <c r="D19" s="6"/>
      <c r="E19" s="6"/>
      <c r="F19" s="6"/>
      <c r="G19" s="6"/>
      <c r="H19" s="6"/>
    </row>
    <row r="20" spans="2:8" ht="30" customHeight="1" x14ac:dyDescent="0.2">
      <c r="B20" s="16" t="s">
        <v>152</v>
      </c>
      <c r="C20" s="16" t="s">
        <v>153</v>
      </c>
      <c r="D20" s="16" t="s">
        <v>154</v>
      </c>
      <c r="E20" s="16" t="s">
        <v>155</v>
      </c>
      <c r="F20" s="16" t="s">
        <v>156</v>
      </c>
      <c r="G20" s="16"/>
      <c r="H20" s="16" t="s">
        <v>130</v>
      </c>
    </row>
    <row r="21" spans="2:8" ht="18" customHeight="1" x14ac:dyDescent="0.2">
      <c r="B21" s="29" t="s">
        <v>157</v>
      </c>
      <c r="C21" s="30">
        <v>274</v>
      </c>
      <c r="D21" s="30">
        <v>694</v>
      </c>
      <c r="E21" s="30">
        <f>C21*'08_Assumptions_Sources'!$D$9</f>
        <v>2300.7780000000002</v>
      </c>
      <c r="F21" s="30">
        <f>D21*'08_Assumptions_Sources'!$D$9</f>
        <v>5827.518</v>
      </c>
      <c r="G21" s="27"/>
      <c r="H21" s="32" t="s">
        <v>158</v>
      </c>
    </row>
    <row r="22" spans="2:8" ht="18" customHeight="1" x14ac:dyDescent="0.2">
      <c r="B22" s="29" t="s">
        <v>159</v>
      </c>
      <c r="C22" s="30">
        <v>5873</v>
      </c>
      <c r="D22" s="30">
        <v>5743</v>
      </c>
      <c r="E22" s="30">
        <f>C22*'08_Assumptions_Sources'!$D$9</f>
        <v>49315.580999999998</v>
      </c>
      <c r="F22" s="30">
        <f>D22*'08_Assumptions_Sources'!$D$9</f>
        <v>48223.971000000005</v>
      </c>
      <c r="G22" s="27"/>
      <c r="H22" s="32" t="s">
        <v>158</v>
      </c>
    </row>
    <row r="23" spans="2:8" ht="18" customHeight="1" x14ac:dyDescent="0.2">
      <c r="B23" s="29" t="s">
        <v>160</v>
      </c>
      <c r="C23" s="30">
        <v>5599</v>
      </c>
      <c r="D23" s="30">
        <v>5049</v>
      </c>
      <c r="E23" s="30">
        <f>C23*'08_Assumptions_Sources'!$D$9</f>
        <v>47014.803</v>
      </c>
      <c r="F23" s="30">
        <f>D23*'08_Assumptions_Sources'!$D$9</f>
        <v>42396.453000000001</v>
      </c>
      <c r="G23" s="27"/>
      <c r="H23" s="32" t="s">
        <v>158</v>
      </c>
    </row>
    <row r="25" spans="2:8" ht="21.75" customHeight="1" x14ac:dyDescent="0.2">
      <c r="B25" s="6" t="s">
        <v>161</v>
      </c>
      <c r="C25" s="6"/>
      <c r="D25" s="6"/>
      <c r="E25" s="6"/>
      <c r="F25" s="6"/>
      <c r="G25" s="6"/>
      <c r="H25" s="6"/>
    </row>
    <row r="26" spans="2:8" ht="30" customHeight="1" x14ac:dyDescent="0.2">
      <c r="B26" s="16" t="s">
        <v>162</v>
      </c>
      <c r="C26" s="16" t="s">
        <v>163</v>
      </c>
      <c r="D26" s="16" t="s">
        <v>164</v>
      </c>
      <c r="E26" s="16"/>
      <c r="F26" s="16"/>
      <c r="G26" s="16"/>
      <c r="H26" s="16" t="s">
        <v>130</v>
      </c>
    </row>
    <row r="27" spans="2:8" ht="18" customHeight="1" x14ac:dyDescent="0.2">
      <c r="B27" s="13" t="s">
        <v>165</v>
      </c>
      <c r="C27" s="31">
        <v>0.16</v>
      </c>
      <c r="D27" s="30">
        <f>C27*F7</f>
        <v>17128.536480000002</v>
      </c>
      <c r="E27" s="7"/>
      <c r="F27" s="7"/>
      <c r="G27" s="7"/>
      <c r="H27" s="32" t="s">
        <v>166</v>
      </c>
    </row>
    <row r="28" spans="2:8" ht="18" customHeight="1" x14ac:dyDescent="0.2">
      <c r="B28" s="13" t="s">
        <v>167</v>
      </c>
      <c r="C28" s="31">
        <v>0.28999999999999998</v>
      </c>
      <c r="D28" s="30">
        <f>C28*F7</f>
        <v>31045.47237</v>
      </c>
      <c r="E28" s="7"/>
      <c r="F28" s="7"/>
      <c r="G28" s="7"/>
      <c r="H28" s="32" t="s">
        <v>166</v>
      </c>
    </row>
  </sheetData>
  <mergeCells count="9">
    <mergeCell ref="B19:H19"/>
    <mergeCell ref="B25:H25"/>
    <mergeCell ref="E27:G27"/>
    <mergeCell ref="E28:G28"/>
    <mergeCell ref="B5:H5"/>
    <mergeCell ref="B13:H13"/>
    <mergeCell ref="F15:G15"/>
    <mergeCell ref="F16:G16"/>
    <mergeCell ref="F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B1:G38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4" customWidth="1"/>
    <col min="3" max="3" width="18" customWidth="1"/>
    <col min="4" max="4" width="12" customWidth="1"/>
    <col min="5" max="5" width="18" customWidth="1"/>
    <col min="6" max="6" width="12" customWidth="1"/>
    <col min="7" max="7" width="44" customWidth="1"/>
  </cols>
  <sheetData>
    <row r="1" spans="2:7" ht="7.5" customHeight="1" x14ac:dyDescent="0.2"/>
    <row r="2" spans="2:7" ht="21" x14ac:dyDescent="0.25">
      <c r="B2" s="14" t="s">
        <v>168</v>
      </c>
    </row>
    <row r="3" spans="2:7" ht="39" x14ac:dyDescent="0.2">
      <c r="B3" s="15" t="s">
        <v>169</v>
      </c>
    </row>
    <row r="5" spans="2:7" ht="21.75" customHeight="1" x14ac:dyDescent="0.2">
      <c r="B5" s="6" t="s">
        <v>170</v>
      </c>
      <c r="C5" s="6"/>
      <c r="D5" s="6"/>
      <c r="E5" s="6"/>
      <c r="F5" s="6"/>
      <c r="G5" s="6"/>
    </row>
    <row r="6" spans="2:7" ht="30" customHeight="1" x14ac:dyDescent="0.2">
      <c r="B6" s="16" t="s">
        <v>152</v>
      </c>
      <c r="C6" s="16" t="s">
        <v>171</v>
      </c>
      <c r="D6" s="16" t="s">
        <v>17</v>
      </c>
      <c r="E6" s="16" t="s">
        <v>172</v>
      </c>
      <c r="F6" s="16" t="s">
        <v>17</v>
      </c>
      <c r="G6" s="16" t="s">
        <v>130</v>
      </c>
    </row>
    <row r="7" spans="2:7" ht="18" customHeight="1" x14ac:dyDescent="0.2">
      <c r="B7" s="29" t="s">
        <v>22</v>
      </c>
      <c r="C7" s="33">
        <v>83.5</v>
      </c>
      <c r="D7" s="34" t="s">
        <v>173</v>
      </c>
      <c r="E7" s="35">
        <f>C7*'08_Assumptions_Sources'!$D$7</f>
        <v>7011.4949999999999</v>
      </c>
      <c r="F7" s="34" t="s">
        <v>23</v>
      </c>
      <c r="G7" s="19" t="s">
        <v>174</v>
      </c>
    </row>
    <row r="8" spans="2:7" ht="18" customHeight="1" x14ac:dyDescent="0.2">
      <c r="B8" s="29" t="s">
        <v>175</v>
      </c>
      <c r="C8" s="36">
        <v>35900</v>
      </c>
      <c r="D8" s="34" t="s">
        <v>176</v>
      </c>
      <c r="E8" s="30">
        <f>C8*'08_Assumptions_Sources'!$D$9</f>
        <v>301452.3</v>
      </c>
      <c r="F8" s="34" t="s">
        <v>20</v>
      </c>
      <c r="G8" s="19" t="s">
        <v>177</v>
      </c>
    </row>
    <row r="9" spans="2:7" ht="18" customHeight="1" x14ac:dyDescent="0.2">
      <c r="B9" s="29" t="s">
        <v>178</v>
      </c>
      <c r="C9" s="36">
        <v>31000</v>
      </c>
      <c r="D9" s="34" t="s">
        <v>176</v>
      </c>
      <c r="E9" s="30">
        <f>C9*'08_Assumptions_Sources'!$D$9</f>
        <v>260307</v>
      </c>
      <c r="F9" s="34" t="s">
        <v>20</v>
      </c>
      <c r="G9" s="19" t="s">
        <v>179</v>
      </c>
    </row>
    <row r="10" spans="2:7" ht="18" customHeight="1" x14ac:dyDescent="0.2">
      <c r="B10" s="37" t="s">
        <v>180</v>
      </c>
      <c r="C10" s="36">
        <v>26000</v>
      </c>
      <c r="D10" s="34" t="s">
        <v>176</v>
      </c>
      <c r="E10" s="30">
        <f>C10*'08_Assumptions_Sources'!$D$9</f>
        <v>218322</v>
      </c>
      <c r="F10" s="34" t="s">
        <v>20</v>
      </c>
      <c r="G10" s="19" t="s">
        <v>181</v>
      </c>
    </row>
    <row r="11" spans="2:7" ht="18" customHeight="1" x14ac:dyDescent="0.2">
      <c r="B11" s="37" t="s">
        <v>182</v>
      </c>
      <c r="C11" s="36">
        <v>1000</v>
      </c>
      <c r="D11" s="34" t="s">
        <v>176</v>
      </c>
      <c r="E11" s="30">
        <f>C11*'08_Assumptions_Sources'!$D$9</f>
        <v>8397</v>
      </c>
      <c r="F11" s="34" t="s">
        <v>20</v>
      </c>
      <c r="G11" s="19" t="s">
        <v>183</v>
      </c>
    </row>
    <row r="12" spans="2:7" ht="18" customHeight="1" x14ac:dyDescent="0.2">
      <c r="B12" s="37" t="s">
        <v>184</v>
      </c>
      <c r="C12" s="36">
        <v>4000</v>
      </c>
      <c r="D12" s="34" t="s">
        <v>176</v>
      </c>
      <c r="E12" s="30">
        <f>C12*'08_Assumptions_Sources'!$D$9</f>
        <v>33588</v>
      </c>
      <c r="F12" s="34" t="s">
        <v>20</v>
      </c>
      <c r="G12" s="19" t="s">
        <v>185</v>
      </c>
    </row>
    <row r="13" spans="2:7" ht="18" customHeight="1" x14ac:dyDescent="0.2">
      <c r="B13" s="29" t="s">
        <v>186</v>
      </c>
      <c r="C13" s="36">
        <v>4900</v>
      </c>
      <c r="D13" s="34" t="s">
        <v>176</v>
      </c>
      <c r="E13" s="30">
        <f>C13*'08_Assumptions_Sources'!$D$9</f>
        <v>41145.300000000003</v>
      </c>
      <c r="F13" s="34" t="s">
        <v>20</v>
      </c>
      <c r="G13" s="19" t="s">
        <v>187</v>
      </c>
    </row>
    <row r="14" spans="2:7" ht="18" customHeight="1" x14ac:dyDescent="0.2">
      <c r="B14" s="29" t="s">
        <v>188</v>
      </c>
      <c r="C14" s="36">
        <v>2188</v>
      </c>
      <c r="D14" s="34" t="s">
        <v>176</v>
      </c>
      <c r="E14" s="30">
        <f>C14*'08_Assumptions_Sources'!$D$9</f>
        <v>18372.636000000002</v>
      </c>
      <c r="F14" s="34" t="s">
        <v>20</v>
      </c>
      <c r="G14" s="19" t="s">
        <v>189</v>
      </c>
    </row>
    <row r="16" spans="2:7" ht="21.75" customHeight="1" x14ac:dyDescent="0.2">
      <c r="B16" s="6" t="s">
        <v>190</v>
      </c>
      <c r="C16" s="6"/>
      <c r="D16" s="6"/>
      <c r="E16" s="6"/>
      <c r="F16" s="6"/>
      <c r="G16" s="6"/>
    </row>
    <row r="17" spans="2:7" ht="30" customHeight="1" x14ac:dyDescent="0.2">
      <c r="B17" s="16" t="s">
        <v>15</v>
      </c>
      <c r="C17" s="16" t="s">
        <v>191</v>
      </c>
      <c r="D17" s="16" t="s">
        <v>17</v>
      </c>
      <c r="E17" s="16"/>
      <c r="F17" s="16"/>
      <c r="G17" s="16" t="s">
        <v>144</v>
      </c>
    </row>
    <row r="18" spans="2:7" ht="18" customHeight="1" x14ac:dyDescent="0.2">
      <c r="B18" s="13" t="s">
        <v>25</v>
      </c>
      <c r="C18" s="20">
        <v>0.44</v>
      </c>
      <c r="D18" s="34" t="s">
        <v>26</v>
      </c>
      <c r="E18" s="27"/>
      <c r="F18" s="27"/>
      <c r="G18" s="19" t="s">
        <v>192</v>
      </c>
    </row>
    <row r="19" spans="2:7" ht="18" customHeight="1" x14ac:dyDescent="0.2">
      <c r="B19" s="13" t="s">
        <v>28</v>
      </c>
      <c r="C19" s="20">
        <v>0.33</v>
      </c>
      <c r="D19" s="34" t="s">
        <v>26</v>
      </c>
      <c r="E19" s="27"/>
      <c r="F19" s="27"/>
      <c r="G19" s="19" t="s">
        <v>192</v>
      </c>
    </row>
    <row r="20" spans="2:7" ht="18" customHeight="1" x14ac:dyDescent="0.2">
      <c r="B20" s="13" t="s">
        <v>30</v>
      </c>
      <c r="C20" s="38">
        <f>C8/C14</f>
        <v>16.407678244972576</v>
      </c>
      <c r="D20" s="34" t="s">
        <v>31</v>
      </c>
      <c r="E20" s="27"/>
      <c r="F20" s="27"/>
      <c r="G20" s="19" t="s">
        <v>193</v>
      </c>
    </row>
    <row r="21" spans="2:7" ht="18" customHeight="1" x14ac:dyDescent="0.2">
      <c r="B21" s="13" t="s">
        <v>33</v>
      </c>
      <c r="C21" s="20">
        <f>C9/C8</f>
        <v>0.86350974930362112</v>
      </c>
      <c r="D21" s="34" t="s">
        <v>26</v>
      </c>
      <c r="E21" s="27"/>
      <c r="F21" s="27"/>
      <c r="G21" s="19" t="s">
        <v>194</v>
      </c>
    </row>
    <row r="22" spans="2:7" ht="18" customHeight="1" x14ac:dyDescent="0.2">
      <c r="B22" s="13" t="s">
        <v>195</v>
      </c>
      <c r="C22" s="20">
        <f>C13/C8</f>
        <v>0.13649025069637882</v>
      </c>
      <c r="D22" s="34" t="s">
        <v>26</v>
      </c>
      <c r="E22" s="27"/>
      <c r="F22" s="27"/>
      <c r="G22" s="19" t="s">
        <v>196</v>
      </c>
    </row>
    <row r="23" spans="2:7" ht="18" customHeight="1" x14ac:dyDescent="0.2">
      <c r="B23" s="13" t="s">
        <v>197</v>
      </c>
      <c r="C23" s="17">
        <f>C10*0.0514*'08_Assumptions_Sources'!$D$9</f>
        <v>11221.750800000002</v>
      </c>
      <c r="D23" s="34" t="s">
        <v>20</v>
      </c>
      <c r="E23" s="27"/>
      <c r="F23" s="27"/>
      <c r="G23" s="19" t="s">
        <v>198</v>
      </c>
    </row>
    <row r="24" spans="2:7" ht="18" customHeight="1" x14ac:dyDescent="0.2">
      <c r="B24" s="13" t="s">
        <v>199</v>
      </c>
      <c r="C24" s="39">
        <f>E8/100000</f>
        <v>3.0145230000000001</v>
      </c>
      <c r="D24" s="34" t="s">
        <v>200</v>
      </c>
      <c r="E24" s="27"/>
      <c r="F24" s="27"/>
      <c r="G24" s="19" t="s">
        <v>201</v>
      </c>
    </row>
    <row r="26" spans="2:7" ht="21.75" customHeight="1" x14ac:dyDescent="0.2">
      <c r="B26" s="6" t="s">
        <v>202</v>
      </c>
      <c r="C26" s="6"/>
      <c r="D26" s="6"/>
      <c r="E26" s="6"/>
      <c r="F26" s="6"/>
      <c r="G26" s="6"/>
    </row>
    <row r="27" spans="2:7" ht="30" customHeight="1" x14ac:dyDescent="0.2">
      <c r="B27" s="16" t="s">
        <v>203</v>
      </c>
      <c r="C27" s="16" t="s">
        <v>176</v>
      </c>
      <c r="D27" s="16" t="s">
        <v>204</v>
      </c>
      <c r="E27" s="16" t="s">
        <v>20</v>
      </c>
      <c r="F27" s="16"/>
      <c r="G27" s="16"/>
    </row>
    <row r="28" spans="2:7" ht="18" customHeight="1" x14ac:dyDescent="0.2">
      <c r="B28" s="27" t="s">
        <v>205</v>
      </c>
      <c r="C28" s="30">
        <f>C10</f>
        <v>26000</v>
      </c>
      <c r="D28" s="31">
        <f>C10/C$8</f>
        <v>0.72423398328690802</v>
      </c>
      <c r="E28" s="30">
        <f>C28*'08_Assumptions_Sources'!$D$9</f>
        <v>218322</v>
      </c>
      <c r="F28" s="7"/>
      <c r="G28" s="7"/>
    </row>
    <row r="29" spans="2:7" ht="18" customHeight="1" x14ac:dyDescent="0.2">
      <c r="B29" s="27" t="s">
        <v>206</v>
      </c>
      <c r="C29" s="30">
        <f>C11</f>
        <v>1000</v>
      </c>
      <c r="D29" s="31">
        <f>C11/C$8</f>
        <v>2.7855153203342618E-2</v>
      </c>
      <c r="E29" s="30">
        <f>C29*'08_Assumptions_Sources'!$D$9</f>
        <v>8397</v>
      </c>
      <c r="F29" s="7"/>
      <c r="G29" s="7"/>
    </row>
    <row r="30" spans="2:7" ht="18" customHeight="1" x14ac:dyDescent="0.2">
      <c r="B30" s="27" t="s">
        <v>207</v>
      </c>
      <c r="C30" s="30">
        <f>C12</f>
        <v>4000</v>
      </c>
      <c r="D30" s="31">
        <f>C12/C$8</f>
        <v>0.11142061281337047</v>
      </c>
      <c r="E30" s="30">
        <f>C30*'08_Assumptions_Sources'!$D$9</f>
        <v>33588</v>
      </c>
      <c r="F30" s="7"/>
      <c r="G30" s="7"/>
    </row>
    <row r="31" spans="2:7" ht="18" customHeight="1" x14ac:dyDescent="0.2">
      <c r="B31" s="27" t="s">
        <v>208</v>
      </c>
      <c r="C31" s="30">
        <f>C13</f>
        <v>4900</v>
      </c>
      <c r="D31" s="31">
        <f>C13/C$8</f>
        <v>0.13649025069637882</v>
      </c>
      <c r="E31" s="30">
        <f>C31*'08_Assumptions_Sources'!$D$9</f>
        <v>41145.300000000003</v>
      </c>
      <c r="F31" s="7"/>
      <c r="G31" s="7"/>
    </row>
    <row r="32" spans="2:7" ht="18" customHeight="1" x14ac:dyDescent="0.2">
      <c r="B32" s="13" t="s">
        <v>209</v>
      </c>
      <c r="C32" s="40">
        <f>SUM(C28:C31)</f>
        <v>35900</v>
      </c>
      <c r="D32" s="41">
        <f>SUM(D28:D31)</f>
        <v>1</v>
      </c>
      <c r="E32" s="40">
        <f>SUM(E28:E31)</f>
        <v>301452.3</v>
      </c>
      <c r="F32" s="7"/>
      <c r="G32" s="7"/>
    </row>
    <row r="34" spans="2:7" ht="21.75" customHeight="1" x14ac:dyDescent="0.2">
      <c r="B34" s="6" t="s">
        <v>210</v>
      </c>
      <c r="C34" s="6"/>
      <c r="D34" s="6"/>
      <c r="E34" s="6"/>
      <c r="F34" s="6"/>
      <c r="G34" s="6"/>
    </row>
    <row r="35" spans="2:7" ht="30" customHeight="1" x14ac:dyDescent="0.2">
      <c r="B35" s="16" t="s">
        <v>211</v>
      </c>
      <c r="C35" s="16" t="s">
        <v>212</v>
      </c>
      <c r="D35" s="16"/>
      <c r="E35" s="16"/>
      <c r="F35" s="16"/>
      <c r="G35" s="16" t="s">
        <v>213</v>
      </c>
    </row>
    <row r="36" spans="2:7" ht="18" customHeight="1" x14ac:dyDescent="0.2">
      <c r="B36" s="13" t="s">
        <v>214</v>
      </c>
      <c r="C36" s="38">
        <v>1.2</v>
      </c>
      <c r="D36" s="7"/>
      <c r="E36" s="7"/>
      <c r="F36" s="3" t="s">
        <v>215</v>
      </c>
      <c r="G36" s="3"/>
    </row>
    <row r="37" spans="2:7" ht="18" customHeight="1" x14ac:dyDescent="0.2">
      <c r="B37" s="13" t="s">
        <v>216</v>
      </c>
      <c r="C37" s="38">
        <v>4</v>
      </c>
      <c r="D37" s="7"/>
      <c r="E37" s="7"/>
      <c r="F37" s="3" t="s">
        <v>217</v>
      </c>
      <c r="G37" s="3"/>
    </row>
    <row r="38" spans="2:7" ht="18" customHeight="1" x14ac:dyDescent="0.2">
      <c r="B38" s="13" t="s">
        <v>218</v>
      </c>
      <c r="C38" s="38">
        <v>3</v>
      </c>
      <c r="D38" s="7"/>
      <c r="E38" s="7"/>
      <c r="F38" s="3" t="s">
        <v>219</v>
      </c>
      <c r="G38" s="3"/>
    </row>
  </sheetData>
  <mergeCells count="15">
    <mergeCell ref="D37:E37"/>
    <mergeCell ref="F37:G37"/>
    <mergeCell ref="D38:E38"/>
    <mergeCell ref="F38:G38"/>
    <mergeCell ref="F30:G30"/>
    <mergeCell ref="F31:G31"/>
    <mergeCell ref="F32:G32"/>
    <mergeCell ref="B34:G34"/>
    <mergeCell ref="D36:E36"/>
    <mergeCell ref="F36:G36"/>
    <mergeCell ref="B5:G5"/>
    <mergeCell ref="B16:G16"/>
    <mergeCell ref="B26:G26"/>
    <mergeCell ref="F28:G28"/>
    <mergeCell ref="F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B1:J19"/>
  <sheetViews>
    <sheetView showGridLines="0" zoomScaleNormal="100" workbookViewId="0">
      <selection activeCell="J4" sqref="J4"/>
    </sheetView>
  </sheetViews>
  <sheetFormatPr baseColWidth="10" defaultColWidth="8.6640625" defaultRowHeight="15" x14ac:dyDescent="0.2"/>
  <cols>
    <col min="1" max="1" width="3" customWidth="1"/>
    <col min="2" max="2" width="24" customWidth="1"/>
    <col min="3" max="4" width="40" customWidth="1"/>
    <col min="5" max="6" width="12" customWidth="1"/>
    <col min="8" max="8" width="20" customWidth="1"/>
    <col min="9" max="10" width="12" customWidth="1"/>
  </cols>
  <sheetData>
    <row r="1" spans="2:10" ht="7.5" customHeight="1" x14ac:dyDescent="0.2"/>
    <row r="2" spans="2:10" ht="21" x14ac:dyDescent="0.25">
      <c r="B2" s="14" t="s">
        <v>220</v>
      </c>
    </row>
    <row r="3" spans="2:10" ht="65" x14ac:dyDescent="0.2">
      <c r="B3" s="15" t="s">
        <v>221</v>
      </c>
    </row>
    <row r="4" spans="2:10" ht="30" x14ac:dyDescent="0.2">
      <c r="H4" s="42" t="s">
        <v>223</v>
      </c>
    </row>
    <row r="5" spans="2:10" ht="21.75" customHeight="1" x14ac:dyDescent="0.2">
      <c r="B5" s="6" t="s">
        <v>222</v>
      </c>
      <c r="C5" s="6"/>
      <c r="D5" s="6"/>
      <c r="E5" s="6"/>
      <c r="F5" s="6"/>
    </row>
    <row r="6" spans="2:10" ht="30" customHeight="1" x14ac:dyDescent="0.2">
      <c r="B6" s="16" t="s">
        <v>224</v>
      </c>
      <c r="C6" s="16" t="s">
        <v>225</v>
      </c>
      <c r="D6" s="16" t="s">
        <v>226</v>
      </c>
      <c r="E6" s="16" t="s">
        <v>227</v>
      </c>
      <c r="F6" s="16" t="s">
        <v>37</v>
      </c>
      <c r="H6" s="43" t="s">
        <v>228</v>
      </c>
      <c r="I6" s="43" t="s">
        <v>229</v>
      </c>
      <c r="J6" s="43" t="s">
        <v>230</v>
      </c>
    </row>
    <row r="7" spans="2:10" ht="45.75" customHeight="1" x14ac:dyDescent="0.2">
      <c r="B7" s="29" t="s">
        <v>49</v>
      </c>
      <c r="C7" s="19" t="s">
        <v>231</v>
      </c>
      <c r="D7" s="19" t="s">
        <v>232</v>
      </c>
      <c r="E7" s="44">
        <v>4</v>
      </c>
      <c r="F7" s="45" t="s">
        <v>233</v>
      </c>
      <c r="H7" s="27" t="s">
        <v>49</v>
      </c>
      <c r="I7" s="46">
        <f>E7</f>
        <v>4</v>
      </c>
      <c r="J7" s="46">
        <f>E15</f>
        <v>1</v>
      </c>
    </row>
    <row r="8" spans="2:10" ht="45.75" customHeight="1" x14ac:dyDescent="0.2">
      <c r="B8" s="29" t="s">
        <v>52</v>
      </c>
      <c r="C8" s="19" t="s">
        <v>234</v>
      </c>
      <c r="D8" s="19" t="s">
        <v>235</v>
      </c>
      <c r="E8" s="44">
        <v>4</v>
      </c>
      <c r="F8" s="45" t="s">
        <v>233</v>
      </c>
      <c r="H8" s="27" t="s">
        <v>52</v>
      </c>
      <c r="I8" s="46">
        <f>E8</f>
        <v>4</v>
      </c>
      <c r="J8" s="46">
        <f>E16</f>
        <v>2</v>
      </c>
    </row>
    <row r="9" spans="2:10" ht="45.75" customHeight="1" x14ac:dyDescent="0.2">
      <c r="B9" s="29" t="s">
        <v>55</v>
      </c>
      <c r="C9" s="19" t="s">
        <v>236</v>
      </c>
      <c r="D9" s="19" t="s">
        <v>237</v>
      </c>
      <c r="E9" s="44">
        <v>5</v>
      </c>
      <c r="F9" s="45" t="s">
        <v>238</v>
      </c>
      <c r="H9" s="27" t="s">
        <v>55</v>
      </c>
      <c r="I9" s="46">
        <f>E9</f>
        <v>5</v>
      </c>
      <c r="J9" s="46">
        <f>E17</f>
        <v>1</v>
      </c>
    </row>
    <row r="10" spans="2:10" ht="45.75" customHeight="1" x14ac:dyDescent="0.2">
      <c r="B10" s="29" t="s">
        <v>239</v>
      </c>
      <c r="C10" s="19" t="s">
        <v>240</v>
      </c>
      <c r="D10" s="19" t="s">
        <v>241</v>
      </c>
      <c r="E10" s="44">
        <v>4</v>
      </c>
      <c r="F10" s="45" t="s">
        <v>233</v>
      </c>
      <c r="H10" s="27" t="s">
        <v>242</v>
      </c>
      <c r="I10" s="46">
        <f>E10</f>
        <v>4</v>
      </c>
      <c r="J10" s="46">
        <f>E18</f>
        <v>1</v>
      </c>
    </row>
    <row r="11" spans="2:10" ht="19.5" customHeight="1" x14ac:dyDescent="0.2">
      <c r="B11" s="13" t="s">
        <v>243</v>
      </c>
      <c r="C11" s="2" t="s">
        <v>244</v>
      </c>
      <c r="D11" s="2"/>
      <c r="E11" s="47">
        <f>AVERAGE(E7:E10)</f>
        <v>4.25</v>
      </c>
      <c r="F11" s="23" t="s">
        <v>245</v>
      </c>
    </row>
    <row r="13" spans="2:10" ht="21.75" customHeight="1" x14ac:dyDescent="0.2">
      <c r="B13" s="6" t="s">
        <v>246</v>
      </c>
      <c r="C13" s="6"/>
      <c r="D13" s="6"/>
      <c r="E13" s="6"/>
      <c r="F13" s="6"/>
    </row>
    <row r="14" spans="2:10" ht="30" customHeight="1" x14ac:dyDescent="0.2">
      <c r="B14" s="16" t="s">
        <v>224</v>
      </c>
      <c r="C14" s="16" t="s">
        <v>225</v>
      </c>
      <c r="D14" s="16" t="s">
        <v>247</v>
      </c>
      <c r="E14" s="16" t="s">
        <v>227</v>
      </c>
      <c r="F14" s="16" t="s">
        <v>37</v>
      </c>
    </row>
    <row r="15" spans="2:10" ht="45.75" customHeight="1" x14ac:dyDescent="0.2">
      <c r="B15" s="29" t="s">
        <v>49</v>
      </c>
      <c r="C15" s="19" t="s">
        <v>248</v>
      </c>
      <c r="D15" s="19" t="s">
        <v>249</v>
      </c>
      <c r="E15" s="48">
        <v>1</v>
      </c>
      <c r="F15" s="49" t="s">
        <v>250</v>
      </c>
    </row>
    <row r="16" spans="2:10" ht="45.75" customHeight="1" x14ac:dyDescent="0.2">
      <c r="B16" s="29" t="s">
        <v>52</v>
      </c>
      <c r="C16" s="19" t="s">
        <v>251</v>
      </c>
      <c r="D16" s="19" t="s">
        <v>252</v>
      </c>
      <c r="E16" s="48">
        <v>2</v>
      </c>
      <c r="F16" s="49" t="s">
        <v>253</v>
      </c>
    </row>
    <row r="17" spans="2:6" ht="45.75" customHeight="1" x14ac:dyDescent="0.2">
      <c r="B17" s="29" t="s">
        <v>55</v>
      </c>
      <c r="C17" s="19" t="s">
        <v>254</v>
      </c>
      <c r="D17" s="19" t="s">
        <v>255</v>
      </c>
      <c r="E17" s="48">
        <v>1</v>
      </c>
      <c r="F17" s="49" t="s">
        <v>250</v>
      </c>
    </row>
    <row r="18" spans="2:6" ht="45.75" customHeight="1" x14ac:dyDescent="0.2">
      <c r="B18" s="29" t="s">
        <v>256</v>
      </c>
      <c r="C18" s="19" t="s">
        <v>257</v>
      </c>
      <c r="D18" s="19" t="s">
        <v>258</v>
      </c>
      <c r="E18" s="48">
        <v>1</v>
      </c>
      <c r="F18" s="49" t="s">
        <v>250</v>
      </c>
    </row>
    <row r="19" spans="2:6" ht="19.5" customHeight="1" x14ac:dyDescent="0.2">
      <c r="B19" s="13" t="s">
        <v>243</v>
      </c>
      <c r="C19" s="2" t="s">
        <v>259</v>
      </c>
      <c r="D19" s="2"/>
      <c r="E19" s="50">
        <f>AVERAGE(E15:E18)</f>
        <v>1.25</v>
      </c>
      <c r="F19" s="24" t="s">
        <v>260</v>
      </c>
    </row>
  </sheetData>
  <mergeCells count="4">
    <mergeCell ref="B5:F5"/>
    <mergeCell ref="C11:D11"/>
    <mergeCell ref="B13:F13"/>
    <mergeCell ref="C19:D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B1:H29"/>
  <sheetViews>
    <sheetView showGridLines="0" topLeftCell="A1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3" width="52" customWidth="1"/>
    <col min="4" max="4" width="40" customWidth="1"/>
    <col min="5" max="7" width="16" customWidth="1"/>
    <col min="8" max="8" width="40" customWidth="1"/>
  </cols>
  <sheetData>
    <row r="1" spans="2:8" ht="7.5" customHeight="1" x14ac:dyDescent="0.2"/>
    <row r="2" spans="2:8" ht="21" x14ac:dyDescent="0.25">
      <c r="B2" s="14" t="s">
        <v>261</v>
      </c>
    </row>
    <row r="3" spans="2:8" ht="52" x14ac:dyDescent="0.2">
      <c r="B3" s="15" t="s">
        <v>262</v>
      </c>
    </row>
    <row r="5" spans="2:8" ht="21.75" customHeight="1" x14ac:dyDescent="0.2">
      <c r="B5" s="6" t="s">
        <v>263</v>
      </c>
      <c r="C5" s="6"/>
      <c r="D5" s="6"/>
      <c r="E5" s="6"/>
      <c r="F5" s="6"/>
      <c r="G5" s="6"/>
      <c r="H5" s="6"/>
    </row>
    <row r="6" spans="2:8" ht="30" customHeight="1" x14ac:dyDescent="0.2">
      <c r="B6" s="16" t="s">
        <v>264</v>
      </c>
      <c r="C6" s="16" t="s">
        <v>265</v>
      </c>
      <c r="D6" s="16" t="s">
        <v>266</v>
      </c>
      <c r="E6" s="16"/>
      <c r="F6" s="16"/>
      <c r="G6" s="16"/>
      <c r="H6" s="16"/>
    </row>
    <row r="7" spans="2:8" ht="33.75" customHeight="1" x14ac:dyDescent="0.2">
      <c r="B7" s="29" t="s">
        <v>267</v>
      </c>
      <c r="C7" s="3" t="s">
        <v>268</v>
      </c>
      <c r="D7" s="3"/>
      <c r="E7" s="3"/>
      <c r="F7" s="3"/>
      <c r="G7" s="1" t="s">
        <v>269</v>
      </c>
      <c r="H7" s="1"/>
    </row>
    <row r="8" spans="2:8" ht="33.75" customHeight="1" x14ac:dyDescent="0.2">
      <c r="B8" s="29" t="s">
        <v>270</v>
      </c>
      <c r="C8" s="3" t="s">
        <v>271</v>
      </c>
      <c r="D8" s="3"/>
      <c r="E8" s="3"/>
      <c r="F8" s="3"/>
      <c r="G8" s="1" t="s">
        <v>272</v>
      </c>
      <c r="H8" s="1"/>
    </row>
    <row r="9" spans="2:8" ht="33.75" customHeight="1" x14ac:dyDescent="0.2">
      <c r="B9" s="29" t="s">
        <v>273</v>
      </c>
      <c r="C9" s="3" t="s">
        <v>274</v>
      </c>
      <c r="D9" s="3"/>
      <c r="E9" s="3"/>
      <c r="F9" s="3"/>
      <c r="G9" s="1" t="s">
        <v>275</v>
      </c>
      <c r="H9" s="1"/>
    </row>
    <row r="10" spans="2:8" ht="33.75" customHeight="1" x14ac:dyDescent="0.2">
      <c r="B10" s="29" t="s">
        <v>276</v>
      </c>
      <c r="C10" s="3" t="s">
        <v>277</v>
      </c>
      <c r="D10" s="3"/>
      <c r="E10" s="3"/>
      <c r="F10" s="3"/>
      <c r="G10" s="1" t="s">
        <v>278</v>
      </c>
      <c r="H10" s="1"/>
    </row>
    <row r="11" spans="2:8" ht="33.75" customHeight="1" x14ac:dyDescent="0.2">
      <c r="B11" s="29" t="s">
        <v>279</v>
      </c>
      <c r="C11" s="3" t="s">
        <v>280</v>
      </c>
      <c r="D11" s="3"/>
      <c r="E11" s="3"/>
      <c r="F11" s="3"/>
      <c r="G11" s="1" t="s">
        <v>281</v>
      </c>
      <c r="H11" s="1"/>
    </row>
    <row r="12" spans="2:8" ht="33.75" customHeight="1" x14ac:dyDescent="0.2">
      <c r="B12" s="29" t="s">
        <v>282</v>
      </c>
      <c r="C12" s="3" t="s">
        <v>283</v>
      </c>
      <c r="D12" s="3"/>
      <c r="E12" s="3"/>
      <c r="F12" s="3"/>
      <c r="G12" s="1" t="s">
        <v>284</v>
      </c>
      <c r="H12" s="1"/>
    </row>
    <row r="14" spans="2:8" ht="21.75" customHeight="1" x14ac:dyDescent="0.2">
      <c r="B14" s="6" t="s">
        <v>285</v>
      </c>
      <c r="C14" s="6"/>
      <c r="D14" s="6"/>
      <c r="E14" s="6"/>
      <c r="F14" s="6"/>
      <c r="G14" s="6"/>
      <c r="H14" s="6"/>
    </row>
    <row r="15" spans="2:8" ht="15" customHeight="1" x14ac:dyDescent="0.2">
      <c r="B15" s="13" t="s">
        <v>286</v>
      </c>
      <c r="C15" s="36">
        <v>2188</v>
      </c>
      <c r="D15" s="4" t="s">
        <v>287</v>
      </c>
      <c r="E15" s="4"/>
      <c r="F15" s="4"/>
      <c r="G15" s="4"/>
      <c r="H15" s="4"/>
    </row>
    <row r="16" spans="2:8" ht="15" customHeight="1" x14ac:dyDescent="0.2">
      <c r="B16" s="13" t="s">
        <v>288</v>
      </c>
      <c r="C16" s="17">
        <f>C15*'08_Assumptions_Sources'!$D$9</f>
        <v>18372.636000000002</v>
      </c>
      <c r="D16" s="4" t="s">
        <v>289</v>
      </c>
      <c r="E16" s="4"/>
      <c r="F16" s="4"/>
      <c r="G16" s="4"/>
      <c r="H16" s="4"/>
    </row>
    <row r="18" spans="2:8" ht="21.75" customHeight="1" x14ac:dyDescent="0.2">
      <c r="B18" s="6" t="s">
        <v>290</v>
      </c>
      <c r="C18" s="6"/>
      <c r="D18" s="6"/>
      <c r="E18" s="6"/>
      <c r="F18" s="6"/>
      <c r="G18" s="6"/>
      <c r="H18" s="6"/>
    </row>
    <row r="19" spans="2:8" ht="19.5" customHeight="1" x14ac:dyDescent="0.2">
      <c r="B19" s="51" t="s">
        <v>291</v>
      </c>
      <c r="C19" s="52">
        <v>13</v>
      </c>
      <c r="D19" s="52">
        <v>14</v>
      </c>
      <c r="E19" s="52">
        <v>15</v>
      </c>
      <c r="F19" s="52">
        <v>16.399999999999999</v>
      </c>
      <c r="G19" s="52">
        <v>17.5</v>
      </c>
      <c r="H19" s="51" t="s">
        <v>213</v>
      </c>
    </row>
    <row r="20" spans="2:8" ht="18" customHeight="1" x14ac:dyDescent="0.2">
      <c r="B20" s="29" t="s">
        <v>292</v>
      </c>
      <c r="C20" s="30">
        <f>C$16*0.85*13</f>
        <v>203017.62780000002</v>
      </c>
      <c r="D20" s="30">
        <f>C$16*0.85*14</f>
        <v>218634.36840000001</v>
      </c>
      <c r="E20" s="30">
        <f>C$16*0.85*15</f>
        <v>234251.10900000003</v>
      </c>
      <c r="F20" s="30">
        <f>C$16*0.85*16.4</f>
        <v>256114.54584000001</v>
      </c>
      <c r="G20" s="30">
        <f>C$16*0.85*17.5</f>
        <v>273292.96050000004</v>
      </c>
      <c r="H20" s="19"/>
    </row>
    <row r="21" spans="2:8" ht="18" customHeight="1" x14ac:dyDescent="0.2">
      <c r="B21" s="29" t="s">
        <v>293</v>
      </c>
      <c r="C21" s="30">
        <f>C$16*1*13</f>
        <v>238844.26800000004</v>
      </c>
      <c r="D21" s="30">
        <f>C$16*1*14</f>
        <v>257216.90400000004</v>
      </c>
      <c r="E21" s="30">
        <f>C$16*1*15</f>
        <v>275589.54000000004</v>
      </c>
      <c r="F21" s="30">
        <f>C$16*1*16.4</f>
        <v>301311.2304</v>
      </c>
      <c r="G21" s="30">
        <f>C$16*1*17.5</f>
        <v>321521.13000000006</v>
      </c>
      <c r="H21" s="19" t="s">
        <v>294</v>
      </c>
    </row>
    <row r="22" spans="2:8" ht="18" customHeight="1" x14ac:dyDescent="0.2">
      <c r="B22" s="29" t="s">
        <v>295</v>
      </c>
      <c r="C22" s="30">
        <f>C$16*1.15*13</f>
        <v>274670.90820000001</v>
      </c>
      <c r="D22" s="30">
        <f>C$16*1.15*14</f>
        <v>295799.43959999998</v>
      </c>
      <c r="E22" s="30">
        <f>C$16*1.15*15</f>
        <v>316927.97100000002</v>
      </c>
      <c r="F22" s="30">
        <f>C$16*1.15*16.4</f>
        <v>346507.91495999997</v>
      </c>
      <c r="G22" s="30">
        <f>C$16*1.15*17.5</f>
        <v>369749.29950000002</v>
      </c>
      <c r="H22" s="19"/>
    </row>
    <row r="24" spans="2:8" ht="30" customHeight="1" x14ac:dyDescent="0.2">
      <c r="B24" s="13" t="s">
        <v>296</v>
      </c>
      <c r="C24" s="53">
        <f>35.9*1000*'08_Assumptions_Sources'!$D$9</f>
        <v>301452.3</v>
      </c>
      <c r="D24" s="3" t="s">
        <v>297</v>
      </c>
      <c r="E24" s="3"/>
      <c r="F24" s="3"/>
      <c r="G24" s="3"/>
      <c r="H24" s="3"/>
    </row>
    <row r="26" spans="2:8" ht="21.75" customHeight="1" x14ac:dyDescent="0.2">
      <c r="B26" s="6" t="s">
        <v>298</v>
      </c>
      <c r="C26" s="6"/>
      <c r="D26" s="6"/>
      <c r="E26" s="6"/>
      <c r="F26" s="6"/>
      <c r="G26" s="6"/>
      <c r="H26" s="6"/>
    </row>
    <row r="27" spans="2:8" ht="79.5" customHeight="1" x14ac:dyDescent="0.2">
      <c r="B27" s="5" t="s">
        <v>299</v>
      </c>
      <c r="C27" s="5"/>
      <c r="D27" s="5"/>
      <c r="E27" s="5"/>
      <c r="F27" s="5"/>
      <c r="G27" s="5"/>
      <c r="H27" s="5"/>
    </row>
    <row r="28" spans="2:8" x14ac:dyDescent="0.2">
      <c r="B28" s="5"/>
      <c r="C28" s="5"/>
      <c r="D28" s="5"/>
      <c r="E28" s="5"/>
      <c r="F28" s="5"/>
      <c r="G28" s="5"/>
      <c r="H28" s="5"/>
    </row>
    <row r="29" spans="2:8" x14ac:dyDescent="0.2">
      <c r="B29" s="5"/>
      <c r="C29" s="5"/>
      <c r="D29" s="5"/>
      <c r="E29" s="5"/>
      <c r="F29" s="5"/>
      <c r="G29" s="5"/>
      <c r="H29" s="5"/>
    </row>
  </sheetData>
  <mergeCells count="20">
    <mergeCell ref="B18:H18"/>
    <mergeCell ref="D24:H24"/>
    <mergeCell ref="B26:H26"/>
    <mergeCell ref="B27:H29"/>
    <mergeCell ref="C12:F12"/>
    <mergeCell ref="G12:H12"/>
    <mergeCell ref="B14:H14"/>
    <mergeCell ref="D15:H15"/>
    <mergeCell ref="D16:H16"/>
    <mergeCell ref="C9:F9"/>
    <mergeCell ref="G9:H9"/>
    <mergeCell ref="C10:F10"/>
    <mergeCell ref="G10:H10"/>
    <mergeCell ref="C11:F11"/>
    <mergeCell ref="G11:H11"/>
    <mergeCell ref="B5:H5"/>
    <mergeCell ref="C7:F7"/>
    <mergeCell ref="G7:H7"/>
    <mergeCell ref="C8:F8"/>
    <mergeCell ref="G8:H8"/>
  </mergeCells>
  <conditionalFormatting sqref="C20:G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B1:H23"/>
  <sheetViews>
    <sheetView showGridLines="0" tabSelected="1" zoomScaleNormal="100" workbookViewId="0">
      <selection activeCell="E3" sqref="E3"/>
    </sheetView>
  </sheetViews>
  <sheetFormatPr baseColWidth="10" defaultColWidth="8.6640625" defaultRowHeight="15" x14ac:dyDescent="0.2"/>
  <cols>
    <col min="1" max="1" width="3" customWidth="1"/>
    <col min="2" max="2" width="10" customWidth="1"/>
    <col min="3" max="3" width="30" customWidth="1"/>
    <col min="4" max="4" width="18" customWidth="1"/>
    <col min="5" max="5" width="34" customWidth="1"/>
    <col min="6" max="6" width="18" customWidth="1"/>
    <col min="7" max="7" width="46" customWidth="1"/>
    <col min="8" max="8" width="14" customWidth="1"/>
  </cols>
  <sheetData>
    <row r="1" spans="2:8" ht="7.5" customHeight="1" x14ac:dyDescent="0.2"/>
    <row r="2" spans="2:8" ht="21" x14ac:dyDescent="0.25">
      <c r="B2" s="14" t="s">
        <v>300</v>
      </c>
    </row>
    <row r="3" spans="2:8" ht="182" customHeight="1" x14ac:dyDescent="0.2">
      <c r="B3" s="57" t="s">
        <v>301</v>
      </c>
      <c r="C3" s="57"/>
    </row>
    <row r="5" spans="2:8" ht="21.75" customHeight="1" x14ac:dyDescent="0.2">
      <c r="B5" s="6" t="s">
        <v>302</v>
      </c>
      <c r="C5" s="6"/>
      <c r="D5" s="6"/>
      <c r="E5" s="6"/>
      <c r="F5" s="6"/>
      <c r="G5" s="6"/>
      <c r="H5" s="6"/>
    </row>
    <row r="6" spans="2:8" ht="30" customHeight="1" x14ac:dyDescent="0.2">
      <c r="B6" s="16" t="s">
        <v>303</v>
      </c>
      <c r="C6" s="16" t="s">
        <v>304</v>
      </c>
      <c r="D6" s="16" t="s">
        <v>305</v>
      </c>
      <c r="E6" s="16" t="s">
        <v>306</v>
      </c>
      <c r="F6" s="16" t="s">
        <v>17</v>
      </c>
      <c r="G6" s="16" t="s">
        <v>307</v>
      </c>
      <c r="H6" s="16" t="s">
        <v>308</v>
      </c>
    </row>
    <row r="7" spans="2:8" ht="43.5" customHeight="1" x14ac:dyDescent="0.2">
      <c r="B7" s="54" t="s">
        <v>309</v>
      </c>
      <c r="C7" s="22" t="s">
        <v>310</v>
      </c>
      <c r="D7" s="18" t="s">
        <v>311</v>
      </c>
      <c r="E7" s="19" t="s">
        <v>312</v>
      </c>
      <c r="F7" s="34" t="s">
        <v>313</v>
      </c>
      <c r="G7" s="55" t="s">
        <v>314</v>
      </c>
      <c r="H7" s="34" t="s">
        <v>315</v>
      </c>
    </row>
    <row r="8" spans="2:8" ht="43.5" customHeight="1" x14ac:dyDescent="0.2">
      <c r="B8" s="54" t="s">
        <v>316</v>
      </c>
      <c r="C8" s="22" t="s">
        <v>317</v>
      </c>
      <c r="D8" s="18" t="s">
        <v>318</v>
      </c>
      <c r="E8" s="19" t="s">
        <v>319</v>
      </c>
      <c r="F8" s="34" t="s">
        <v>320</v>
      </c>
      <c r="G8" s="55" t="s">
        <v>321</v>
      </c>
      <c r="H8" s="34" t="s">
        <v>315</v>
      </c>
    </row>
    <row r="9" spans="2:8" ht="43.5" customHeight="1" x14ac:dyDescent="0.2">
      <c r="B9" s="54" t="s">
        <v>322</v>
      </c>
      <c r="C9" s="22" t="s">
        <v>323</v>
      </c>
      <c r="D9" s="56">
        <f>83.97/10</f>
        <v>8.3970000000000002</v>
      </c>
      <c r="E9" s="19" t="s">
        <v>324</v>
      </c>
      <c r="F9" s="34" t="s">
        <v>325</v>
      </c>
      <c r="G9" s="55" t="s">
        <v>326</v>
      </c>
      <c r="H9" s="34" t="s">
        <v>315</v>
      </c>
    </row>
    <row r="10" spans="2:8" ht="43.5" customHeight="1" x14ac:dyDescent="0.2">
      <c r="B10" s="54" t="s">
        <v>327</v>
      </c>
      <c r="C10" s="22" t="s">
        <v>328</v>
      </c>
      <c r="D10" s="56">
        <f>35.9/16.4*1000</f>
        <v>2189.0243902439024</v>
      </c>
      <c r="E10" s="19" t="s">
        <v>329</v>
      </c>
      <c r="F10" s="34" t="s">
        <v>176</v>
      </c>
      <c r="G10" s="55" t="s">
        <v>330</v>
      </c>
      <c r="H10" s="34" t="s">
        <v>315</v>
      </c>
    </row>
    <row r="12" spans="2:8" ht="21.75" customHeight="1" x14ac:dyDescent="0.2">
      <c r="B12" s="6" t="s">
        <v>331</v>
      </c>
      <c r="C12" s="6"/>
      <c r="D12" s="6"/>
      <c r="E12" s="6"/>
      <c r="F12" s="6"/>
      <c r="G12" s="6"/>
      <c r="H12" s="6"/>
    </row>
    <row r="13" spans="2:8" ht="30" customHeight="1" x14ac:dyDescent="0.2">
      <c r="B13" s="16" t="s">
        <v>303</v>
      </c>
      <c r="C13" s="16" t="s">
        <v>332</v>
      </c>
      <c r="D13" s="16" t="s">
        <v>333</v>
      </c>
      <c r="E13" s="16" t="s">
        <v>334</v>
      </c>
      <c r="F13" s="16" t="s">
        <v>335</v>
      </c>
      <c r="G13" s="16" t="s">
        <v>336</v>
      </c>
      <c r="H13" s="16" t="s">
        <v>308</v>
      </c>
    </row>
    <row r="14" spans="2:8" ht="39.75" customHeight="1" x14ac:dyDescent="0.2">
      <c r="B14" s="54" t="s">
        <v>337</v>
      </c>
      <c r="C14" s="19" t="s">
        <v>338</v>
      </c>
      <c r="D14" s="34" t="s">
        <v>339</v>
      </c>
      <c r="E14" s="19" t="s">
        <v>340</v>
      </c>
      <c r="F14" s="19" t="s">
        <v>341</v>
      </c>
      <c r="G14" s="55" t="s">
        <v>342</v>
      </c>
      <c r="H14" s="34" t="s">
        <v>315</v>
      </c>
    </row>
    <row r="15" spans="2:8" ht="39.75" customHeight="1" x14ac:dyDescent="0.2">
      <c r="B15" s="54" t="s">
        <v>343</v>
      </c>
      <c r="C15" s="19" t="s">
        <v>344</v>
      </c>
      <c r="D15" s="34" t="s">
        <v>345</v>
      </c>
      <c r="E15" s="19" t="s">
        <v>346</v>
      </c>
      <c r="F15" s="19" t="s">
        <v>347</v>
      </c>
      <c r="G15" s="55" t="s">
        <v>348</v>
      </c>
      <c r="H15" s="34" t="s">
        <v>315</v>
      </c>
    </row>
    <row r="16" spans="2:8" ht="39.75" customHeight="1" x14ac:dyDescent="0.2">
      <c r="B16" s="54" t="s">
        <v>349</v>
      </c>
      <c r="C16" s="19" t="s">
        <v>350</v>
      </c>
      <c r="D16" s="34" t="s">
        <v>351</v>
      </c>
      <c r="E16" s="19" t="s">
        <v>352</v>
      </c>
      <c r="F16" s="19" t="s">
        <v>353</v>
      </c>
      <c r="G16" s="55" t="s">
        <v>354</v>
      </c>
      <c r="H16" s="34" t="s">
        <v>315</v>
      </c>
    </row>
    <row r="17" spans="2:8" ht="39.75" customHeight="1" x14ac:dyDescent="0.2">
      <c r="B17" s="54" t="s">
        <v>355</v>
      </c>
      <c r="C17" s="19" t="s">
        <v>356</v>
      </c>
      <c r="D17" s="34" t="s">
        <v>357</v>
      </c>
      <c r="E17" s="19" t="s">
        <v>358</v>
      </c>
      <c r="F17" s="19" t="s">
        <v>359</v>
      </c>
      <c r="G17" s="55" t="s">
        <v>360</v>
      </c>
      <c r="H17" s="34" t="s">
        <v>315</v>
      </c>
    </row>
    <row r="18" spans="2:8" ht="39.75" customHeight="1" x14ac:dyDescent="0.2">
      <c r="B18" s="54" t="s">
        <v>361</v>
      </c>
      <c r="C18" s="19" t="s">
        <v>362</v>
      </c>
      <c r="D18" s="34" t="s">
        <v>363</v>
      </c>
      <c r="E18" s="19" t="s">
        <v>364</v>
      </c>
      <c r="F18" s="19" t="s">
        <v>365</v>
      </c>
      <c r="G18" s="55" t="s">
        <v>348</v>
      </c>
      <c r="H18" s="34" t="s">
        <v>315</v>
      </c>
    </row>
    <row r="19" spans="2:8" ht="39.75" customHeight="1" x14ac:dyDescent="0.2">
      <c r="B19" s="54" t="s">
        <v>366</v>
      </c>
      <c r="C19" s="19" t="s">
        <v>367</v>
      </c>
      <c r="D19" s="34" t="s">
        <v>368</v>
      </c>
      <c r="E19" s="19" t="s">
        <v>369</v>
      </c>
      <c r="F19" s="19" t="s">
        <v>370</v>
      </c>
      <c r="G19" s="55" t="s">
        <v>371</v>
      </c>
      <c r="H19" s="34" t="s">
        <v>315</v>
      </c>
    </row>
    <row r="20" spans="2:8" ht="39.75" customHeight="1" x14ac:dyDescent="0.2">
      <c r="B20" s="54" t="s">
        <v>372</v>
      </c>
      <c r="C20" s="19" t="s">
        <v>373</v>
      </c>
      <c r="D20" s="34" t="s">
        <v>374</v>
      </c>
      <c r="E20" s="19" t="s">
        <v>375</v>
      </c>
      <c r="F20" s="19" t="s">
        <v>376</v>
      </c>
      <c r="G20" s="55" t="s">
        <v>377</v>
      </c>
      <c r="H20" s="34" t="s">
        <v>315</v>
      </c>
    </row>
    <row r="21" spans="2:8" ht="39.75" customHeight="1" x14ac:dyDescent="0.2">
      <c r="B21" s="54" t="s">
        <v>378</v>
      </c>
      <c r="C21" s="19" t="s">
        <v>379</v>
      </c>
      <c r="D21" s="34" t="s">
        <v>380</v>
      </c>
      <c r="E21" s="19" t="s">
        <v>381</v>
      </c>
      <c r="F21" s="19" t="s">
        <v>382</v>
      </c>
      <c r="G21" s="55" t="s">
        <v>383</v>
      </c>
      <c r="H21" s="34" t="s">
        <v>315</v>
      </c>
    </row>
    <row r="22" spans="2:8" ht="39.75" customHeight="1" x14ac:dyDescent="0.2">
      <c r="B22" s="54" t="s">
        <v>384</v>
      </c>
      <c r="C22" s="19" t="s">
        <v>385</v>
      </c>
      <c r="D22" s="34" t="s">
        <v>380</v>
      </c>
      <c r="E22" s="19" t="s">
        <v>386</v>
      </c>
      <c r="F22" s="19" t="s">
        <v>387</v>
      </c>
      <c r="G22" s="55" t="s">
        <v>388</v>
      </c>
      <c r="H22" s="34" t="s">
        <v>315</v>
      </c>
    </row>
    <row r="23" spans="2:8" ht="39.75" customHeight="1" x14ac:dyDescent="0.2">
      <c r="B23" s="54" t="s">
        <v>389</v>
      </c>
      <c r="C23" s="19" t="s">
        <v>390</v>
      </c>
      <c r="D23" s="34" t="s">
        <v>380</v>
      </c>
      <c r="E23" s="19" t="s">
        <v>391</v>
      </c>
      <c r="F23" s="19" t="s">
        <v>392</v>
      </c>
      <c r="G23" s="55" t="s">
        <v>393</v>
      </c>
      <c r="H23" s="34" t="s">
        <v>315</v>
      </c>
    </row>
  </sheetData>
  <autoFilter ref="B13:H23" xr:uid="{00000000-0009-0000-0000-000009000000}"/>
  <mergeCells count="3">
    <mergeCell ref="B5:H5"/>
    <mergeCell ref="B12:H1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00_Cover</vt:lpstr>
      <vt:lpstr>01_Executive_Summary</vt:lpstr>
      <vt:lpstr>02_Case_Comparison</vt:lpstr>
      <vt:lpstr>03_Mars_Kellanova_DD</vt:lpstr>
      <vt:lpstr>04_Kellanova_Financials</vt:lpstr>
      <vt:lpstr>05_Deal_Terms_Valuation</vt:lpstr>
      <vt:lpstr>06_Synergy_Assessment</vt:lpstr>
      <vt:lpstr>07_Consideration_Fairness</vt:lpstr>
      <vt:lpstr>08_Assumptions_Sources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Romit Banerjee - 21277030197</cp:lastModifiedBy>
  <cp:revision>1</cp:revision>
  <dcterms:created xsi:type="dcterms:W3CDTF">2026-06-22T19:39:53Z</dcterms:created>
  <dcterms:modified xsi:type="dcterms:W3CDTF">2026-06-22T20:04:54Z</dcterms:modified>
  <dc:language>en-US</dc:language>
</cp:coreProperties>
</file>
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GS Analysis" sheetId="1" r:id="rId4"/>
  </sheets>
  <definedNames/>
  <calcPr/>
  <extLst>
    <ext uri="GoogleSheetsCustomDataVersion2">
      <go:sheetsCustomData xmlns:go="http://customooxmlschemas.google.com/" r:id="rId5" roundtripDataChecksum="ofeENVQ5u7JX09RRarDpawy+FBegGnLj2grGHIbDzc0="/>
    </ext>
  </extLst>
</workbook>
</file>

<file path=xl/sharedStrings.xml><?xml version="1.0" encoding="utf-8"?>
<sst xmlns="http://schemas.openxmlformats.org/spreadsheetml/2006/main" count="55" uniqueCount="42">
  <si>
    <t>TATA STEEL — COGS ANALYSIS</t>
  </si>
  <si>
    <t>All figures in ₹ Crore  |  Source: Tata Steel Annual Reports FY2024 &amp; FY2025</t>
  </si>
  <si>
    <t>SECTION 1 — COST OF GOODS SOLD BREAKDOWN</t>
  </si>
  <si>
    <t>Particulars</t>
  </si>
  <si>
    <t>FY 2024 (₹ Cr)</t>
  </si>
  <si>
    <t>FY 2025 (₹ Cr)</t>
  </si>
  <si>
    <t>Change (₹ Cr)</t>
  </si>
  <si>
    <t>Change (%)</t>
  </si>
  <si>
    <t>Cost of Materials Consumed</t>
  </si>
  <si>
    <t>Purchases of Stock-in-Trade</t>
  </si>
  <si>
    <t>Changes in Inventories (FG/WIP)</t>
  </si>
  <si>
    <t>COST OF GOODS SOLD (TOTAL)</t>
  </si>
  <si>
    <t>SECTION 2 — KEY DRIVERS OF COGS DECLINE (FY2025 vs FY2024)</t>
  </si>
  <si>
    <t>#</t>
  </si>
  <si>
    <t>Driver</t>
  </si>
  <si>
    <t>Explanation</t>
  </si>
  <si>
    <t>1</t>
  </si>
  <si>
    <t>Global Input Price Decline</t>
  </si>
  <si>
    <t xml:space="preserve">The single biggest driver - the cost of iron ore and coking coal, which constitute over 30% of Tata Steel's expenses fell by 12.7% YoY in FY25. </t>
  </si>
  <si>
    <t>2</t>
  </si>
  <si>
    <t>Captive Iron Ore Mining Advantage</t>
  </si>
  <si>
    <t>Tata Steel owns its own iron ore mines, so it doesn't need to buy iron ore from the market.</t>
  </si>
  <si>
    <t>SECTION 3 — QUARTERLY COMMODITY PRICE TRACKER (FY2025)</t>
  </si>
  <si>
    <t>Iron Ore Price ($/tonne)</t>
  </si>
  <si>
    <t>Coking Coal Price ($/tonne)</t>
  </si>
  <si>
    <t>Quarter</t>
  </si>
  <si>
    <t>Price Range ($/t)</t>
  </si>
  <si>
    <t>Trend</t>
  </si>
  <si>
    <t>Q1 Apr–Jun 2024</t>
  </si>
  <si>
    <t>115 – 130</t>
  </si>
  <si>
    <t>▼ Declining</t>
  </si>
  <si>
    <t>200 – 205</t>
  </si>
  <si>
    <t>Q2 Jul–Sep 2024</t>
  </si>
  <si>
    <t>95 – 110</t>
  </si>
  <si>
    <t>190 – 200</t>
  </si>
  <si>
    <t>Q3 Oct–Dec 2024</t>
  </si>
  <si>
    <t>90 – 105</t>
  </si>
  <si>
    <t>175 – 185</t>
  </si>
  <si>
    <t>Q4 Jan–Mar 2025</t>
  </si>
  <si>
    <t>95 – 100</t>
  </si>
  <si>
    <t>→ Stabilising</t>
  </si>
  <si>
    <t>170 – 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</si>
</sst>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\(#,##0.00\);\-"/>
    <numFmt numFmtId="165" formatCode="_(* #,##0.00_);_(* \(#,##0.00\);_(* &quot;-&quot;??_);_(@_)"/>
  </numFmts>
  <fonts count="13">
    <font>
      <sz val="11.0"/>
      <color theme="1"/>
      <name val="Calibri"/>
      <scheme val="minor"/>
    </font>
    <font>
      <b/>
      <sz val="14.0"/>
      <color rgb="FFFFFFFF"/>
      <name val="Times New Roman"/>
    </font>
    <font/>
    <font>
      <sz val="11.0"/>
      <color theme="1"/>
      <name val="Times New Roman"/>
    </font>
    <font>
      <i/>
      <sz val="9.0"/>
      <color rgb="FF7F7F7F"/>
      <name val="Times New Roman"/>
    </font>
    <font>
      <b/>
      <sz val="10.0"/>
      <color rgb="FFFFFFFF"/>
      <name val="Times New Roman"/>
    </font>
    <font>
      <b/>
      <sz val="9.0"/>
      <color rgb="FFFFFFFF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b/>
      <sz val="10.0"/>
      <color theme="0"/>
      <name val="Times New Roman"/>
    </font>
    <font>
      <b/>
      <sz val="10.0"/>
      <color rgb="FF000000"/>
      <name val="Times New Roman"/>
    </font>
    <font>
      <b/>
      <sz val="8.0"/>
      <color rgb="FFFFFFFF"/>
      <name val="Times New Roman"/>
    </font>
    <font>
      <sz val="9.0"/>
      <color rgb="FF00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2E5FA3"/>
        <bgColor rgb="FF2E5FA3"/>
      </patternFill>
    </fill>
    <fill>
      <patternFill patternType="solid">
        <fgColor rgb="FFD6E4F0"/>
        <bgColor rgb="FFD6E4F0"/>
      </patternFill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4472C4"/>
        <bgColor rgb="FF4472C4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B3A6B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1B3A6B"/>
      </bottom>
    </border>
    <border>
      <top style="thin">
        <color rgb="FFBFBFBF"/>
      </top>
      <bottom style="medium">
        <color rgb="FF1B3A6B"/>
      </bottom>
    </border>
    <border>
      <right style="thin">
        <color rgb="FFBFBFBF"/>
      </right>
      <top style="thin">
        <color rgb="FFBFBFBF"/>
      </top>
      <bottom style="medium">
        <color rgb="FF1B3A6B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medium">
        <color rgb="FF1B3A6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5" fillId="4" fontId="7" numFmtId="0" xfId="0" applyAlignment="1" applyBorder="1" applyFill="1" applyFont="1">
      <alignment horizontal="left" shrinkToFit="0" vertical="center" wrapText="1"/>
    </xf>
    <xf borderId="5" fillId="4" fontId="7" numFmtId="164" xfId="0" applyAlignment="1" applyBorder="1" applyFont="1" applyNumberFormat="1">
      <alignment horizontal="right" vertical="center"/>
    </xf>
    <xf borderId="5" fillId="5" fontId="8" numFmtId="165" xfId="0" applyAlignment="1" applyBorder="1" applyFill="1" applyFont="1" applyNumberFormat="1">
      <alignment horizontal="right" vertical="center"/>
    </xf>
    <xf borderId="5" fillId="5" fontId="8" numFmtId="9" xfId="0" applyAlignment="1" applyBorder="1" applyFont="1" applyNumberFormat="1">
      <alignment horizontal="right" vertical="center"/>
    </xf>
    <xf borderId="5" fillId="6" fontId="7" numFmtId="0" xfId="0" applyAlignment="1" applyBorder="1" applyFill="1" applyFont="1">
      <alignment horizontal="left" shrinkToFit="0" vertical="center" wrapText="1"/>
    </xf>
    <xf borderId="5" fillId="6" fontId="7" numFmtId="164" xfId="0" applyAlignment="1" applyBorder="1" applyFont="1" applyNumberFormat="1">
      <alignment horizontal="right" vertical="center"/>
    </xf>
    <xf borderId="5" fillId="0" fontId="8" numFmtId="165" xfId="0" applyAlignment="1" applyBorder="1" applyFont="1" applyNumberFormat="1">
      <alignment horizontal="right" vertical="center"/>
    </xf>
    <xf borderId="5" fillId="0" fontId="8" numFmtId="9" xfId="0" applyAlignment="1" applyBorder="1" applyFont="1" applyNumberFormat="1">
      <alignment horizontal="right" vertical="center"/>
    </xf>
    <xf borderId="5" fillId="7" fontId="5" numFmtId="0" xfId="0" applyAlignment="1" applyBorder="1" applyFill="1" applyFont="1">
      <alignment horizontal="left" shrinkToFit="0" vertical="center" wrapText="1"/>
    </xf>
    <xf borderId="5" fillId="7" fontId="5" numFmtId="164" xfId="0" applyAlignment="1" applyBorder="1" applyFont="1" applyNumberFormat="1">
      <alignment horizontal="right" vertical="center"/>
    </xf>
    <xf borderId="5" fillId="7" fontId="9" numFmtId="165" xfId="0" applyAlignment="1" applyBorder="1" applyFont="1" applyNumberFormat="1">
      <alignment horizontal="right" vertical="center"/>
    </xf>
    <xf borderId="5" fillId="7" fontId="9" numFmtId="9" xfId="0" applyAlignment="1" applyBorder="1" applyFont="1" applyNumberFormat="1">
      <alignment horizontal="right" vertical="center"/>
    </xf>
    <xf borderId="6" fillId="3" fontId="6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4" fontId="10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left" shrinkToFit="0" vertical="center" wrapText="1"/>
    </xf>
    <xf borderId="9" fillId="4" fontId="7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11" fillId="0" fontId="2" numFmtId="0" xfId="0" applyBorder="1" applyFont="1"/>
    <xf borderId="5" fillId="6" fontId="10" numFmtId="0" xfId="0" applyAlignment="1" applyBorder="1" applyFont="1">
      <alignment horizontal="center" shrinkToFit="0" vertical="center" wrapText="1"/>
    </xf>
    <xf borderId="5" fillId="6" fontId="10" numFmtId="0" xfId="0" applyAlignment="1" applyBorder="1" applyFont="1">
      <alignment horizontal="left" shrinkToFit="0" vertical="center" wrapText="1"/>
    </xf>
    <xf borderId="9" fillId="6" fontId="7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5" fillId="8" fontId="11" numFmtId="0" xfId="0" applyAlignment="1" applyBorder="1" applyFill="1" applyFont="1">
      <alignment horizontal="center" shrinkToFit="0" vertical="center" wrapText="1"/>
    </xf>
    <xf borderId="5" fillId="4" fontId="12" numFmtId="0" xfId="0" applyAlignment="1" applyBorder="1" applyFont="1">
      <alignment horizontal="left" shrinkToFit="0" vertical="center" wrapText="1"/>
    </xf>
    <xf borderId="5" fillId="4" fontId="12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6" fontId="12" numFmtId="0" xfId="0" applyAlignment="1" applyBorder="1" applyFont="1">
      <alignment horizontal="left" shrinkToFit="0" vertical="center" wrapText="1"/>
    </xf>
    <xf borderId="5" fillId="6" fontId="12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3" width="18.0"/>
    <col customWidth="1" min="4" max="4" width="16.0"/>
    <col customWidth="1" min="5" max="5" width="15.71"/>
    <col customWidth="1" min="6" max="7" width="14.0"/>
    <col customWidth="1" min="8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6" t="s">
        <v>2</v>
      </c>
      <c r="B4" s="2"/>
      <c r="C4" s="2"/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8" t="s">
        <v>8</v>
      </c>
      <c r="B6" s="9">
        <v>48516.26</v>
      </c>
      <c r="C6" s="9">
        <v>44088.93</v>
      </c>
      <c r="D6" s="10">
        <f t="shared" ref="D6:D9" si="1">C6-B6</f>
        <v>-4427.33</v>
      </c>
      <c r="E6" s="11">
        <f t="shared" ref="E6:E9" si="2">D6/B6</f>
        <v>-0.09125456084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2" t="s">
        <v>9</v>
      </c>
      <c r="B7" s="13">
        <v>9699.77</v>
      </c>
      <c r="C7" s="13">
        <v>9825.5</v>
      </c>
      <c r="D7" s="14">
        <f t="shared" si="1"/>
        <v>125.73</v>
      </c>
      <c r="E7" s="15">
        <f t="shared" si="2"/>
        <v>0.01296216302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8" t="s">
        <v>10</v>
      </c>
      <c r="B8" s="9">
        <v>379.91</v>
      </c>
      <c r="C8" s="9">
        <v>330.66</v>
      </c>
      <c r="D8" s="10">
        <f t="shared" si="1"/>
        <v>-49.25</v>
      </c>
      <c r="E8" s="11">
        <f t="shared" si="2"/>
        <v>-0.1296359664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6" t="s">
        <v>11</v>
      </c>
      <c r="B9" s="17">
        <v>58595.94</v>
      </c>
      <c r="C9" s="17">
        <v>54245.09</v>
      </c>
      <c r="D9" s="18">
        <f t="shared" si="1"/>
        <v>-4350.85</v>
      </c>
      <c r="E9" s="19">
        <f t="shared" si="2"/>
        <v>-0.07425173143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6" t="s">
        <v>12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7" t="s">
        <v>13</v>
      </c>
      <c r="B12" s="7" t="s">
        <v>14</v>
      </c>
      <c r="C12" s="20" t="s">
        <v>15</v>
      </c>
      <c r="D12" s="21"/>
      <c r="E12" s="21"/>
      <c r="F12" s="21"/>
      <c r="G12" s="2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9.75" customHeight="1">
      <c r="A13" s="23" t="s">
        <v>16</v>
      </c>
      <c r="B13" s="24" t="s">
        <v>17</v>
      </c>
      <c r="C13" s="25" t="s">
        <v>18</v>
      </c>
      <c r="D13" s="26"/>
      <c r="E13" s="26"/>
      <c r="F13" s="26"/>
      <c r="G13" s="2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9.75" customHeight="1">
      <c r="A14" s="28" t="s">
        <v>19</v>
      </c>
      <c r="B14" s="29" t="s">
        <v>20</v>
      </c>
      <c r="C14" s="30" t="s">
        <v>21</v>
      </c>
      <c r="D14" s="26"/>
      <c r="E14" s="26"/>
      <c r="F14" s="26"/>
      <c r="G14" s="2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9.75" customHeight="1">
      <c r="A15" s="6" t="s">
        <v>22</v>
      </c>
      <c r="B15" s="2"/>
      <c r="C15" s="2"/>
      <c r="D15" s="2"/>
      <c r="E15" s="2"/>
      <c r="F15" s="2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9.75" customHeight="1"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20" t="s">
        <v>23</v>
      </c>
      <c r="B17" s="21"/>
      <c r="C17" s="31"/>
      <c r="D17" s="4"/>
      <c r="E17" s="20" t="s">
        <v>24</v>
      </c>
      <c r="F17" s="21"/>
      <c r="G17" s="3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32" t="s">
        <v>25</v>
      </c>
      <c r="B18" s="32" t="s">
        <v>26</v>
      </c>
      <c r="C18" s="32" t="s">
        <v>27</v>
      </c>
      <c r="D18" s="4"/>
      <c r="E18" s="32" t="s">
        <v>25</v>
      </c>
      <c r="F18" s="32" t="s">
        <v>26</v>
      </c>
      <c r="G18" s="32" t="s">
        <v>27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33" t="s">
        <v>28</v>
      </c>
      <c r="B19" s="34" t="s">
        <v>29</v>
      </c>
      <c r="C19" s="34" t="s">
        <v>30</v>
      </c>
      <c r="D19" s="4"/>
      <c r="E19" s="8" t="s">
        <v>28</v>
      </c>
      <c r="F19" s="35" t="s">
        <v>31</v>
      </c>
      <c r="G19" s="35" t="s">
        <v>30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36" t="s">
        <v>32</v>
      </c>
      <c r="B20" s="37" t="s">
        <v>33</v>
      </c>
      <c r="C20" s="37" t="s">
        <v>30</v>
      </c>
      <c r="D20" s="4"/>
      <c r="E20" s="12" t="s">
        <v>32</v>
      </c>
      <c r="F20" s="38" t="s">
        <v>34</v>
      </c>
      <c r="G20" s="38" t="s">
        <v>30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33" t="s">
        <v>35</v>
      </c>
      <c r="B21" s="34" t="s">
        <v>36</v>
      </c>
      <c r="C21" s="34" t="s">
        <v>30</v>
      </c>
      <c r="D21" s="4"/>
      <c r="E21" s="8" t="s">
        <v>35</v>
      </c>
      <c r="F21" s="35" t="s">
        <v>37</v>
      </c>
      <c r="G21" s="35" t="s">
        <v>30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36" t="s">
        <v>38</v>
      </c>
      <c r="B22" s="37" t="s">
        <v>39</v>
      </c>
      <c r="C22" s="37" t="s">
        <v>40</v>
      </c>
      <c r="D22" s="4"/>
      <c r="E22" s="12" t="s">
        <v>38</v>
      </c>
      <c r="F22" s="38" t="s">
        <v>41</v>
      </c>
      <c r="G22" s="38" t="s">
        <v>40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A15:G15"/>
    <mergeCell ref="A17:C17"/>
    <mergeCell ref="E17:G17"/>
    <mergeCell ref="A1:G1"/>
    <mergeCell ref="A2:G2"/>
    <mergeCell ref="A4:G4"/>
    <mergeCell ref="A11:G11"/>
    <mergeCell ref="C12:G12"/>
    <mergeCell ref="C13:G13"/>
    <mergeCell ref="C14:G1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2026-04-18T14:49:18Z</dcterms:created>
  <dc:creator>openpyxl</dc:creator>
</cp:coreProperties>
</file>
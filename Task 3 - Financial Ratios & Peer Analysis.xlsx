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ivedha\Documents\Pre-MBA\PM Finance\"/>
    </mc:Choice>
  </mc:AlternateContent>
  <xr:revisionPtr revIDLastSave="0" documentId="13_ncr:1_{BCAF187B-B54A-4A89-A6EB-F1915187996A}" xr6:coauthVersionLast="47" xr6:coauthVersionMax="47" xr10:uidLastSave="{00000000-0000-0000-0000-000000000000}"/>
  <bookViews>
    <workbookView xWindow="-108" yWindow="-108" windowWidth="23256" windowHeight="13176" xr2:uid="{A060232E-F7F9-A245-B0C5-752A10F74FF3}"/>
  </bookViews>
  <sheets>
    <sheet name="Financial Ratios" sheetId="1" r:id="rId1"/>
    <sheet name="FP Analysis " sheetId="9" r:id="rId2"/>
    <sheet name="SAIL" sheetId="8" r:id="rId3"/>
    <sheet name="Balance Sheet (JSPL)" sheetId="6" r:id="rId4"/>
    <sheet name="P L Statement (JSPL)" sheetId="5" r:id="rId5"/>
    <sheet name="Balance Sheet (TATA STEEL)" sheetId="3" r:id="rId6"/>
    <sheet name="P L Statement (TATA STEEL) " sheetId="7"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3" i="1" l="1"/>
  <c r="O13" i="1"/>
  <c r="N13" i="1"/>
  <c r="P12" i="1"/>
  <c r="O12" i="1"/>
  <c r="N12" i="1"/>
  <c r="P14" i="1"/>
  <c r="O14" i="1"/>
  <c r="N14" i="1"/>
  <c r="I29" i="1"/>
  <c r="J29" i="1"/>
  <c r="K29" i="1"/>
  <c r="D29" i="1"/>
  <c r="E29" i="1"/>
  <c r="C29" i="1"/>
  <c r="J28" i="1"/>
  <c r="K28" i="1"/>
  <c r="I28" i="1"/>
  <c r="J27" i="1"/>
  <c r="K27" i="1"/>
  <c r="I27" i="1"/>
  <c r="D27" i="1"/>
  <c r="E27" i="1"/>
  <c r="C27" i="1"/>
  <c r="J26" i="1"/>
  <c r="K26" i="1"/>
  <c r="I26" i="1"/>
  <c r="J25" i="1"/>
  <c r="K25" i="1"/>
  <c r="I25" i="1"/>
  <c r="J24" i="1"/>
  <c r="K24" i="1"/>
  <c r="I24" i="1"/>
  <c r="J22" i="1"/>
  <c r="K22" i="1"/>
  <c r="I22" i="1"/>
  <c r="J21" i="1"/>
  <c r="K21" i="1"/>
  <c r="I21" i="1"/>
  <c r="J20" i="1"/>
  <c r="K20" i="1"/>
  <c r="I20" i="1"/>
  <c r="D20" i="1"/>
  <c r="E20" i="1"/>
  <c r="C20" i="1"/>
  <c r="J19" i="1"/>
  <c r="K19" i="1"/>
  <c r="I19" i="1"/>
  <c r="J18" i="1"/>
  <c r="K18" i="1"/>
  <c r="I18" i="1"/>
  <c r="D18" i="1"/>
  <c r="E18" i="1"/>
  <c r="C18" i="1"/>
  <c r="J17" i="1"/>
  <c r="K17" i="1"/>
  <c r="I17" i="1"/>
  <c r="D17" i="1"/>
  <c r="E17" i="1"/>
  <c r="C17" i="1"/>
  <c r="J16" i="1"/>
  <c r="K16" i="1"/>
  <c r="I16" i="1"/>
  <c r="D16" i="1"/>
  <c r="E16" i="1"/>
  <c r="C16" i="1"/>
  <c r="J14" i="1"/>
  <c r="K14" i="1"/>
  <c r="I14" i="1"/>
  <c r="J13" i="1"/>
  <c r="K13" i="1"/>
  <c r="I13" i="1"/>
  <c r="J12" i="1"/>
  <c r="K12" i="1"/>
  <c r="I12" i="1"/>
  <c r="J11" i="1"/>
  <c r="K11" i="1"/>
  <c r="I11" i="1"/>
  <c r="D11" i="1"/>
  <c r="E11" i="1"/>
  <c r="C11" i="1"/>
  <c r="J10" i="1"/>
  <c r="K10" i="1"/>
  <c r="I10" i="1"/>
  <c r="D10" i="1"/>
  <c r="E10" i="1"/>
  <c r="C10" i="1"/>
  <c r="J9" i="1"/>
  <c r="K9" i="1"/>
  <c r="I9" i="1"/>
  <c r="D9" i="1"/>
  <c r="E9" i="1"/>
  <c r="C9" i="1"/>
  <c r="K7" i="1"/>
  <c r="J7" i="1"/>
  <c r="I7" i="1"/>
  <c r="J6" i="1"/>
  <c r="K6" i="1"/>
  <c r="I6" i="1"/>
  <c r="J5" i="1"/>
  <c r="K5" i="1"/>
  <c r="I5" i="1"/>
  <c r="D78" i="5"/>
  <c r="C78" i="5"/>
  <c r="B78" i="5"/>
  <c r="D94" i="7" l="1"/>
  <c r="D95" i="7" s="1"/>
  <c r="C94" i="7"/>
  <c r="B94" i="7"/>
  <c r="D86" i="7"/>
  <c r="C86" i="7"/>
  <c r="B86" i="7"/>
  <c r="D73" i="7"/>
  <c r="D74" i="7" s="1"/>
  <c r="C73" i="7"/>
  <c r="C74" i="7" s="1"/>
  <c r="B73" i="7"/>
  <c r="D65" i="7"/>
  <c r="C65" i="7"/>
  <c r="D61" i="7"/>
  <c r="C61" i="7"/>
  <c r="C62" i="7" s="1"/>
  <c r="B61" i="7"/>
  <c r="D49" i="7"/>
  <c r="D50" i="7" s="1"/>
  <c r="C49" i="7"/>
  <c r="C50" i="7" s="1"/>
  <c r="B49" i="7"/>
  <c r="D33" i="7"/>
  <c r="C33" i="7"/>
  <c r="C34" i="7" s="1"/>
  <c r="B33" i="7"/>
  <c r="D24" i="7"/>
  <c r="C24" i="7"/>
  <c r="C52" i="7" s="1"/>
  <c r="B24" i="7"/>
  <c r="B52" i="7" s="1"/>
  <c r="D15" i="7"/>
  <c r="D16" i="7" s="1"/>
  <c r="C15" i="7"/>
  <c r="C16" i="7" s="1"/>
  <c r="B15" i="7"/>
  <c r="D7" i="7"/>
  <c r="C7" i="7"/>
  <c r="D8" i="7" s="1"/>
  <c r="B7" i="7"/>
  <c r="B18" i="7" s="1"/>
  <c r="D88" i="6"/>
  <c r="E88" i="6"/>
  <c r="F88" i="6"/>
  <c r="C88" i="6"/>
  <c r="C19" i="6"/>
  <c r="F108" i="6"/>
  <c r="E108" i="6"/>
  <c r="D108" i="6"/>
  <c r="C108" i="6"/>
  <c r="F102" i="6"/>
  <c r="E102" i="6"/>
  <c r="D102" i="6"/>
  <c r="C102" i="6"/>
  <c r="F82" i="6"/>
  <c r="E82" i="6"/>
  <c r="D82" i="6"/>
  <c r="C82" i="6"/>
  <c r="F67" i="6"/>
  <c r="E67" i="6"/>
  <c r="D67" i="6"/>
  <c r="C67" i="6"/>
  <c r="F52" i="6"/>
  <c r="E52" i="6"/>
  <c r="D52" i="6"/>
  <c r="C52" i="6"/>
  <c r="F40" i="6"/>
  <c r="E40" i="6"/>
  <c r="D40" i="6"/>
  <c r="C40" i="6"/>
  <c r="F33" i="6"/>
  <c r="E33" i="6"/>
  <c r="D33" i="6"/>
  <c r="C33" i="6"/>
  <c r="F19" i="6"/>
  <c r="E19" i="6"/>
  <c r="D19" i="6"/>
  <c r="F104" i="3"/>
  <c r="F98" i="3"/>
  <c r="F106" i="3" s="1"/>
  <c r="E104" i="3"/>
  <c r="E98" i="3"/>
  <c r="D104" i="3"/>
  <c r="D98" i="3"/>
  <c r="C104" i="3"/>
  <c r="C98" i="3"/>
  <c r="E85" i="3"/>
  <c r="F85" i="3"/>
  <c r="E80" i="3"/>
  <c r="F80" i="3"/>
  <c r="D85" i="3"/>
  <c r="D80" i="3"/>
  <c r="C80" i="3"/>
  <c r="C85" i="3"/>
  <c r="C65" i="3"/>
  <c r="C50" i="3"/>
  <c r="C38" i="3"/>
  <c r="C31" i="3"/>
  <c r="C19" i="3"/>
  <c r="C67" i="5"/>
  <c r="D67" i="5"/>
  <c r="C92" i="5"/>
  <c r="D92" i="5"/>
  <c r="B92" i="5"/>
  <c r="D54" i="5"/>
  <c r="C54" i="5"/>
  <c r="B54" i="5"/>
  <c r="D39" i="5"/>
  <c r="C39" i="5"/>
  <c r="B39" i="5"/>
  <c r="D23" i="5"/>
  <c r="C23" i="5"/>
  <c r="B23" i="5"/>
  <c r="D12" i="5"/>
  <c r="C12" i="5"/>
  <c r="B12" i="5"/>
  <c r="D87" i="7" l="1"/>
  <c r="D62" i="7"/>
  <c r="C95" i="7"/>
  <c r="D25" i="7"/>
  <c r="D34" i="7"/>
  <c r="D18" i="7"/>
  <c r="D55" i="7" s="1"/>
  <c r="C87" i="7"/>
  <c r="D52" i="7"/>
  <c r="D53" i="7" s="1"/>
  <c r="D93" i="5"/>
  <c r="C93" i="5"/>
  <c r="C53" i="7"/>
  <c r="B55" i="7"/>
  <c r="B67" i="7" s="1"/>
  <c r="B76" i="7" s="1"/>
  <c r="B89" i="7" s="1"/>
  <c r="B97" i="7" s="1"/>
  <c r="B19" i="7"/>
  <c r="C18" i="7"/>
  <c r="C8" i="7"/>
  <c r="C25" i="7"/>
  <c r="F110" i="6"/>
  <c r="C90" i="6"/>
  <c r="E110" i="6"/>
  <c r="E90" i="6"/>
  <c r="D90" i="6"/>
  <c r="D110" i="6"/>
  <c r="D35" i="6"/>
  <c r="C35" i="6"/>
  <c r="C110" i="6"/>
  <c r="F90" i="6"/>
  <c r="D68" i="6"/>
  <c r="D69" i="6" s="1"/>
  <c r="E68" i="6"/>
  <c r="E69" i="6" s="1"/>
  <c r="F68" i="6"/>
  <c r="F69" i="6" s="1"/>
  <c r="E35" i="6"/>
  <c r="F35" i="6"/>
  <c r="C68" i="6"/>
  <c r="C69" i="6" s="1"/>
  <c r="F87" i="3"/>
  <c r="C106" i="3"/>
  <c r="D106" i="3"/>
  <c r="E106" i="3"/>
  <c r="C33" i="3"/>
  <c r="D87" i="3"/>
  <c r="E87" i="3"/>
  <c r="C87" i="3"/>
  <c r="C66" i="3"/>
  <c r="C67" i="3" s="1"/>
  <c r="C64" i="5"/>
  <c r="D79" i="5"/>
  <c r="C40" i="5"/>
  <c r="D64" i="5"/>
  <c r="C79" i="5"/>
  <c r="D13" i="5"/>
  <c r="C55" i="5"/>
  <c r="D24" i="5"/>
  <c r="D5" i="5"/>
  <c r="C13" i="5"/>
  <c r="C15" i="5"/>
  <c r="B15" i="5"/>
  <c r="D57" i="5"/>
  <c r="D55" i="5"/>
  <c r="B57" i="5"/>
  <c r="C57" i="5"/>
  <c r="D40" i="5"/>
  <c r="C5" i="5"/>
  <c r="C24" i="5"/>
  <c r="D15" i="5"/>
  <c r="D19" i="7" l="1"/>
  <c r="C19" i="7"/>
  <c r="C55" i="7"/>
  <c r="D56" i="7" s="1"/>
  <c r="C20" i="7"/>
  <c r="D67" i="7"/>
  <c r="D20" i="7"/>
  <c r="B60" i="5"/>
  <c r="B69" i="5" s="1"/>
  <c r="B81" i="5" s="1"/>
  <c r="B86" i="5" s="1"/>
  <c r="D60" i="5"/>
  <c r="D69" i="5" s="1"/>
  <c r="C60" i="5"/>
  <c r="C69" i="5" s="1"/>
  <c r="B16" i="5"/>
  <c r="C58" i="5"/>
  <c r="C17" i="5"/>
  <c r="C16" i="5"/>
  <c r="D58" i="5"/>
  <c r="D17" i="5"/>
  <c r="D16" i="5"/>
  <c r="D76" i="7" l="1"/>
  <c r="C56" i="7"/>
  <c r="C67" i="7"/>
  <c r="C61" i="5"/>
  <c r="C70" i="5"/>
  <c r="C81" i="5"/>
  <c r="C86" i="5" s="1"/>
  <c r="B95" i="5"/>
  <c r="D61" i="5"/>
  <c r="D89" i="7" l="1"/>
  <c r="C76" i="7"/>
  <c r="C68" i="7"/>
  <c r="D68" i="7"/>
  <c r="C82" i="5"/>
  <c r="D70" i="5"/>
  <c r="D81" i="5"/>
  <c r="D86" i="5" s="1"/>
  <c r="E65" i="3"/>
  <c r="F65" i="3"/>
  <c r="D65" i="3"/>
  <c r="E50" i="3"/>
  <c r="F50" i="3"/>
  <c r="D50" i="3"/>
  <c r="E38" i="3"/>
  <c r="F38" i="3"/>
  <c r="D38" i="3"/>
  <c r="E31" i="3"/>
  <c r="F31" i="3"/>
  <c r="E21" i="1" s="1"/>
  <c r="D31" i="3"/>
  <c r="E19" i="3"/>
  <c r="F19" i="3"/>
  <c r="D19" i="3"/>
  <c r="D6" i="1" l="1"/>
  <c r="C21" i="1"/>
  <c r="C13" i="1"/>
  <c r="E13" i="1"/>
  <c r="D13" i="1"/>
  <c r="D21" i="1"/>
  <c r="E6" i="1"/>
  <c r="F33" i="3"/>
  <c r="E28" i="1" s="1"/>
  <c r="C77" i="7"/>
  <c r="C89" i="7"/>
  <c r="D90" i="7"/>
  <c r="D97" i="7"/>
  <c r="D77" i="7"/>
  <c r="C6" i="1"/>
  <c r="D82" i="5"/>
  <c r="C95" i="5"/>
  <c r="C87" i="5"/>
  <c r="C7" i="1"/>
  <c r="E7" i="1"/>
  <c r="F66" i="3"/>
  <c r="E66" i="3"/>
  <c r="D7" i="1"/>
  <c r="C5" i="1"/>
  <c r="D5" i="1"/>
  <c r="E5" i="1"/>
  <c r="D66" i="3"/>
  <c r="E33" i="3"/>
  <c r="D33" i="3"/>
  <c r="C28" i="1" s="1"/>
  <c r="E24" i="1" l="1"/>
  <c r="E25" i="1"/>
  <c r="D24" i="1"/>
  <c r="D25" i="1"/>
  <c r="D22" i="1"/>
  <c r="D19" i="1"/>
  <c r="D14" i="1"/>
  <c r="D12" i="1"/>
  <c r="C12" i="1"/>
  <c r="C22" i="1"/>
  <c r="C19" i="1"/>
  <c r="C14" i="1"/>
  <c r="D28" i="1"/>
  <c r="C24" i="1"/>
  <c r="C25" i="1"/>
  <c r="E22" i="1"/>
  <c r="E14" i="1"/>
  <c r="E12" i="1"/>
  <c r="E19" i="1"/>
  <c r="C96" i="5"/>
  <c r="C90" i="7"/>
  <c r="C97" i="7"/>
  <c r="C98" i="7" s="1"/>
  <c r="E67" i="3"/>
  <c r="D26" i="1" s="1"/>
  <c r="D67" i="3"/>
  <c r="C26" i="1" s="1"/>
  <c r="F67" i="3"/>
  <c r="E26" i="1" s="1"/>
  <c r="D87" i="5"/>
  <c r="D95" i="5"/>
  <c r="D96" i="5" s="1"/>
  <c r="D98" i="7" l="1"/>
</calcChain>
</file>

<file path=xl/sharedStrings.xml><?xml version="1.0" encoding="utf-8"?>
<sst xmlns="http://schemas.openxmlformats.org/spreadsheetml/2006/main" count="912" uniqueCount="389">
  <si>
    <t>TATA STEEL BALANCE SHEET ANALYSIS</t>
  </si>
  <si>
    <t>Ratio</t>
  </si>
  <si>
    <t>Mathematical formula</t>
  </si>
  <si>
    <t>FY2023</t>
  </si>
  <si>
    <t>FY2024</t>
  </si>
  <si>
    <t>FY2025</t>
  </si>
  <si>
    <t>Liquidity Ratio</t>
  </si>
  <si>
    <t>Current Assets/Current Liabilities</t>
  </si>
  <si>
    <t>Assets</t>
  </si>
  <si>
    <t>Equity and liabilities</t>
  </si>
  <si>
    <t>Ref</t>
  </si>
  <si>
    <t>Particulars</t>
  </si>
  <si>
    <t>I</t>
  </si>
  <si>
    <t>Non-current assets</t>
  </si>
  <si>
    <t>(a)</t>
  </si>
  <si>
    <t>Property, plant and equipment</t>
  </si>
  <si>
    <t>(b)</t>
  </si>
  <si>
    <t>Capital work-in-progress</t>
  </si>
  <si>
    <t>(c)</t>
  </si>
  <si>
    <t>Right-of-use assets</t>
  </si>
  <si>
    <t>(d)</t>
  </si>
  <si>
    <t>Goodwill</t>
  </si>
  <si>
    <t>(e)</t>
  </si>
  <si>
    <t>Other intangible assets</t>
  </si>
  <si>
    <t>(f)</t>
  </si>
  <si>
    <t>Intangible assets under development</t>
  </si>
  <si>
    <t>(g)</t>
  </si>
  <si>
    <t>Financial assets</t>
  </si>
  <si>
    <t>(i)</t>
  </si>
  <si>
    <t>Investments</t>
  </si>
  <si>
    <t>(ii)</t>
  </si>
  <si>
    <t>Loans</t>
  </si>
  <si>
    <t>(iii)</t>
  </si>
  <si>
    <t>Derivative assets</t>
  </si>
  <si>
    <t>(iv)</t>
  </si>
  <si>
    <t>Other financial assets</t>
  </si>
  <si>
    <t>(h)</t>
  </si>
  <si>
    <t>Non-current tax assets (net)</t>
  </si>
  <si>
    <t>Other assets</t>
  </si>
  <si>
    <t>Total non-current assets</t>
  </si>
  <si>
    <t>II</t>
  </si>
  <si>
    <t>Current assets</t>
  </si>
  <si>
    <t>Inventories</t>
  </si>
  <si>
    <t>Trade receivables</t>
  </si>
  <si>
    <t>Cash and cash equivalents</t>
  </si>
  <si>
    <t>Other balances with banks</t>
  </si>
  <si>
    <t>(v)</t>
  </si>
  <si>
    <t>(vi)</t>
  </si>
  <si>
    <t>(vii)</t>
  </si>
  <si>
    <t>Total current assets</t>
  </si>
  <si>
    <t>III</t>
  </si>
  <si>
    <t>Assets held for sale</t>
  </si>
  <si>
    <t>Total assets</t>
  </si>
  <si>
    <t>IV</t>
  </si>
  <si>
    <t>Equity</t>
  </si>
  <si>
    <t>Equity share capital</t>
  </si>
  <si>
    <t>Other equity</t>
  </si>
  <si>
    <t>Total equity</t>
  </si>
  <si>
    <t>V</t>
  </si>
  <si>
    <t>Non-current liabilities</t>
  </si>
  <si>
    <t>Financial liabilities</t>
  </si>
  <si>
    <t>Borrowings</t>
  </si>
  <si>
    <t>Lease liabilities</t>
  </si>
  <si>
    <t>Derivative liabilities</t>
  </si>
  <si>
    <t>Other financial liabilities</t>
  </si>
  <si>
    <t>Provisions</t>
  </si>
  <si>
    <t>Retirement benefit obligations</t>
  </si>
  <si>
    <t>Deferred income</t>
  </si>
  <si>
    <t>Deferred tax liabilities (net)</t>
  </si>
  <si>
    <t>Other liabilities</t>
  </si>
  <si>
    <t>Total non-current liabilities</t>
  </si>
  <si>
    <t>VI</t>
  </si>
  <si>
    <t>Current liabilities</t>
  </si>
  <si>
    <t>Trade payables</t>
  </si>
  <si>
    <t>Total outstanding dues of micro and small enterprises</t>
  </si>
  <si>
    <t>Total outstanding dues of creditors other than micro and small enterprises</t>
  </si>
  <si>
    <t>Current tax liabilities (net)</t>
  </si>
  <si>
    <t>Total current liabilities</t>
  </si>
  <si>
    <t>Total liabilities</t>
  </si>
  <si>
    <t>Total equity and liabilities</t>
  </si>
  <si>
    <t>(iii/a)</t>
  </si>
  <si>
    <t>(iii/b)</t>
  </si>
  <si>
    <t>Quick ratio</t>
  </si>
  <si>
    <t>Quick Assets/Current Liabilities
Quick Assets = Current Assets - Inventories</t>
  </si>
  <si>
    <t>Cash Ratio</t>
  </si>
  <si>
    <t>CCE/Current Liabilities</t>
  </si>
  <si>
    <t>Profitability Ratio</t>
  </si>
  <si>
    <t>Gross Profit Margin %</t>
  </si>
  <si>
    <t>Sale of products</t>
  </si>
  <si>
    <t>Sale of power and water</t>
  </si>
  <si>
    <t>Other operating revenues</t>
  </si>
  <si>
    <t>Revenue from operations</t>
  </si>
  <si>
    <t xml:space="preserve">% Change </t>
  </si>
  <si>
    <t>Cost of materials consumed</t>
  </si>
  <si>
    <t>Power, fuel and industrial gases</t>
  </si>
  <si>
    <t>Conversion charges</t>
  </si>
  <si>
    <t>Purchases of SIT</t>
  </si>
  <si>
    <t>Changes in inventories (finished/semi-finished/SIT/WIP)</t>
  </si>
  <si>
    <t>COGS</t>
  </si>
  <si>
    <t>% Change</t>
  </si>
  <si>
    <t>Gross Profit</t>
  </si>
  <si>
    <t>% Gross Margin</t>
  </si>
  <si>
    <t>% Change (for Gross Profit)</t>
  </si>
  <si>
    <t>Freight and handling charges</t>
  </si>
  <si>
    <t>Commission, discounts and rebates</t>
  </si>
  <si>
    <t>Selling and marketing expenses</t>
  </si>
  <si>
    <t>Consumption of stores and spares</t>
  </si>
  <si>
    <t>Repairs to buildings</t>
  </si>
  <si>
    <t>Repairs to machinery</t>
  </si>
  <si>
    <t>Relining expenses</t>
  </si>
  <si>
    <t>Rent</t>
  </si>
  <si>
    <t>Royalty</t>
  </si>
  <si>
    <t>General expenses</t>
  </si>
  <si>
    <t>Salaries and wages</t>
  </si>
  <si>
    <t>Contribution to PF and other funds</t>
  </si>
  <si>
    <t>Staff welfare expenses</t>
  </si>
  <si>
    <t>Remuneration to key managerial personnel</t>
  </si>
  <si>
    <t>Tax and rates</t>
  </si>
  <si>
    <t>Insurance</t>
  </si>
  <si>
    <t>Allowance for credit losses/provision for advances</t>
  </si>
  <si>
    <t>Payment to non-executive directors</t>
  </si>
  <si>
    <t>Statutory audit fees</t>
  </si>
  <si>
    <t>Tax audit fees</t>
  </si>
  <si>
    <t>For other services of auditors</t>
  </si>
  <si>
    <t>Out-of-pocket expenses</t>
  </si>
  <si>
    <t>Cost audit fees</t>
  </si>
  <si>
    <t>Administrative expenses</t>
  </si>
  <si>
    <t>Total SG&amp;A expenses</t>
  </si>
  <si>
    <t xml:space="preserve"> Deferred revenue expenditure</t>
  </si>
  <si>
    <t>EBITDA</t>
  </si>
  <si>
    <t>Depreciation on property, plant and equipment</t>
  </si>
  <si>
    <t>Depreciation on right-of-use assets</t>
  </si>
  <si>
    <t>Amortisation of intangible assets</t>
  </si>
  <si>
    <t>Depreciation and amortisation expense</t>
  </si>
  <si>
    <t>EBIT</t>
  </si>
  <si>
    <t>Operating Profit Margin %</t>
  </si>
  <si>
    <t>Net Profit Margin %</t>
  </si>
  <si>
    <t>Interest expense on bonds, debentures, bank borrowings and others</t>
  </si>
  <si>
    <t>Interest expense on lease Obligation</t>
  </si>
  <si>
    <t>Less: Interest capitalised</t>
  </si>
  <si>
    <t>Finance costs</t>
  </si>
  <si>
    <t>Profit/(loss) on sale of non-current investments</t>
  </si>
  <si>
    <t>Provision for impairment of investments/doubtful advances (net)</t>
  </si>
  <si>
    <t>Provision for impairment of non-current assets (net)</t>
  </si>
  <si>
    <t>Employee separation compensation</t>
  </si>
  <si>
    <t>Restructuring and other provisions</t>
  </si>
  <si>
    <t>Gain/(loss) on non-current investments classified as fair value through profit and loss (net)</t>
  </si>
  <si>
    <t>Contribution to electoral trusts</t>
  </si>
  <si>
    <t>Total exceptional items</t>
  </si>
  <si>
    <t>PBT</t>
  </si>
  <si>
    <t>Current Tax</t>
  </si>
  <si>
    <t>Deferred Tax</t>
  </si>
  <si>
    <t>Total Tax Expense</t>
  </si>
  <si>
    <t>PAT</t>
  </si>
  <si>
    <t>(Gross Profit/Net Revenue from operations)*100</t>
  </si>
  <si>
    <t>(EBIT/Net Revenue from operations)*100</t>
  </si>
  <si>
    <t>(PAT/Net Revenue from operations)*100</t>
  </si>
  <si>
    <t>Profit Before Tax and Exceptional Items</t>
  </si>
  <si>
    <t>ROA</t>
  </si>
  <si>
    <t>PAT/Total Assets</t>
  </si>
  <si>
    <t>ROE</t>
  </si>
  <si>
    <t>PAT/Shareholder's Equity</t>
  </si>
  <si>
    <t>ROCE</t>
  </si>
  <si>
    <t>EBIT/Capital Employed
Capital Employed = Total Assets - Current Liabilities</t>
  </si>
  <si>
    <t>Turnover Ratio</t>
  </si>
  <si>
    <t>Inventory Turnover Ratio</t>
  </si>
  <si>
    <t>FY2022</t>
  </si>
  <si>
    <t>Receivables Turnover Ratio</t>
  </si>
  <si>
    <t>COGS/Average Inventories
Average Inventories = (Opening Inventory + Closing Inventory)/2</t>
  </si>
  <si>
    <t>Net Revenue from operations/Average Accounts receivables
Average Accounts Receivables = (Opening Accounts Receivables + Closing Accounts Receivables)/2</t>
  </si>
  <si>
    <t>Payables Turnover Ratio</t>
  </si>
  <si>
    <t>Net Revenue from operations/Total Assets</t>
  </si>
  <si>
    <t>Net Revenue from operations/Fixed Assets</t>
  </si>
  <si>
    <t>W/C Turnover Ratio</t>
  </si>
  <si>
    <t>Net Revenue from operations/Net W/C
Net W/C = Current Assets - Current Liabilities</t>
  </si>
  <si>
    <t>Capital Turnover Ratio</t>
  </si>
  <si>
    <t>Net Revenue from operations/Capital Employed
Capital Employed = Total Assets - Current Liabilities</t>
  </si>
  <si>
    <t>Solvency Ratio</t>
  </si>
  <si>
    <t>Asset Turnover Ratio</t>
  </si>
  <si>
    <t>Fixed Asset Turnover Ratio</t>
  </si>
  <si>
    <t>Debt Ratio</t>
  </si>
  <si>
    <t>Total Liabilities/Total Assets</t>
  </si>
  <si>
    <t>Debt-to-equity Ratio</t>
  </si>
  <si>
    <t>Total Liabilities/Shareholder's Equity</t>
  </si>
  <si>
    <t>Total Liabilities/(Total Liabilities+Total Shareholder's Equity)</t>
  </si>
  <si>
    <t>Debt-to-(debt+shareholder's equity) Ratio</t>
  </si>
  <si>
    <t>Interest Coverage Ratio</t>
  </si>
  <si>
    <t>EBIT/Interest expense</t>
  </si>
  <si>
    <t>Equity ratio</t>
  </si>
  <si>
    <t>Shareholder's Equity/Total Assets</t>
  </si>
  <si>
    <t>Note on Borrowings</t>
  </si>
  <si>
    <t>Secured</t>
  </si>
  <si>
    <t>Loan from Joint Plant Committee - Steel Development Fund</t>
  </si>
  <si>
    <t>Total Secured</t>
  </si>
  <si>
    <t>Unsecured</t>
  </si>
  <si>
    <t>Non-convertible debentures</t>
  </si>
  <si>
    <t>Term loans from banks/financial institutions</t>
  </si>
  <si>
    <t>Total Unsecured</t>
  </si>
  <si>
    <t>A. Non-current</t>
  </si>
  <si>
    <t>Total non-current borrowings</t>
  </si>
  <si>
    <t>Term loans from banks</t>
  </si>
  <si>
    <t>B. Current</t>
  </si>
  <si>
    <t>Repayable on demand from banks</t>
  </si>
  <si>
    <t>Current maturities of long-term borrowings-Loan from Joint Plant Committee</t>
  </si>
  <si>
    <t>Loans from banks/financial institutions</t>
  </si>
  <si>
    <t>Current maturities of long-term borrowings</t>
  </si>
  <si>
    <t>Commercial papers</t>
  </si>
  <si>
    <t>Total current borrowings</t>
  </si>
  <si>
    <t>Debt Service Coverage Ratio</t>
  </si>
  <si>
    <t xml:space="preserve">EBIT/Total Debt Service
Total Debt Service = Principal Repayment + Interest Expense
Principal Repayment = current maturities of long-term borrowings
</t>
  </si>
  <si>
    <t>JSPL BALANCE SHEET ANALYSIS</t>
  </si>
  <si>
    <t>Investments in Subsidiaries (held for sale)</t>
  </si>
  <si>
    <t>Current maturities</t>
  </si>
  <si>
    <t>Term loans from other financial institutions</t>
  </si>
  <si>
    <t>Cash credit from banks</t>
  </si>
  <si>
    <t>Other Loans from Banks (Buyer’s Credit)</t>
  </si>
  <si>
    <t>Loans from related parties</t>
  </si>
  <si>
    <t>-</t>
  </si>
  <si>
    <t>Current tax assets (net)</t>
  </si>
  <si>
    <t>TATA STEEL P/L STATEMENT ANALYSIS</t>
  </si>
  <si>
    <t>JSPL P/L STATEMENT ANALYSIS</t>
  </si>
  <si>
    <t>Other manufacturing expenses</t>
  </si>
  <si>
    <t>Bad debts &amp; Sundry balances written off</t>
  </si>
  <si>
    <t>Loss Allowances for Trade &amp; Other Receivables (net)</t>
  </si>
  <si>
    <t>Repairs to plant and machinery</t>
  </si>
  <si>
    <t>Repairs to building</t>
  </si>
  <si>
    <t>Other repairs</t>
  </si>
  <si>
    <t>PPE / CWIP discarded / Written Off</t>
  </si>
  <si>
    <t>Loss on sale of PPE</t>
  </si>
  <si>
    <t>Donation</t>
  </si>
  <si>
    <t>Corporate Social Responsibility Expense</t>
  </si>
  <si>
    <t>Loan &amp; Interest Receivables written Off</t>
  </si>
  <si>
    <t>Less: Loss Allowances on loan &amp; Interest receivables no longer required written back</t>
  </si>
  <si>
    <t>Investments written off</t>
  </si>
  <si>
    <t>Foreign exchange fluctuation (net)</t>
  </si>
  <si>
    <t>Research and Development Expenses</t>
  </si>
  <si>
    <t>Certification &amp; other charges</t>
  </si>
  <si>
    <t>Reimbursement of expenses</t>
  </si>
  <si>
    <t>Directors' remuneration &amp; sitting fee</t>
  </si>
  <si>
    <t>Miscellaneous expenses</t>
  </si>
  <si>
    <t>Interest expense on borrowings ( Term loans &amp; Working capital loans)</t>
  </si>
  <si>
    <t>Interest expense on exchange difference to the extent considered as an adjustment to borrowing costs</t>
  </si>
  <si>
    <t>Lease Obligation</t>
  </si>
  <si>
    <t>Other Financial Expenses</t>
  </si>
  <si>
    <t>Less: Interest on Intercorporate Deposits</t>
  </si>
  <si>
    <t>Less: Others</t>
  </si>
  <si>
    <t>Provision for Taxation-Earlier years</t>
  </si>
  <si>
    <t>Less: Loss Allowances no longer required written back</t>
  </si>
  <si>
    <t xml:space="preserve"> Less: Captive Sales for own projects</t>
  </si>
  <si>
    <t>Deferred Tax/(credit)</t>
  </si>
  <si>
    <t xml:space="preserve">TATA STEEL FINANCIAL RATIOS </t>
  </si>
  <si>
    <t xml:space="preserve">JSPL FINANCIAL RATIOS </t>
  </si>
  <si>
    <t>COGS/Average Accounts payables
Average Accounts Payables = (Opening Accounts Payables + Closing Accounts Payables)/2</t>
  </si>
  <si>
    <t>Mar '25</t>
  </si>
  <si>
    <t>Mar '24</t>
  </si>
  <si>
    <t>Mar '23</t>
  </si>
  <si>
    <t>Mar '22</t>
  </si>
  <si>
    <t>Mar '21</t>
  </si>
  <si>
    <t>Investment Valuation Ratios</t>
  </si>
  <si>
    <t>Face Value</t>
  </si>
  <si>
    <t>Dividend Per Share</t>
  </si>
  <si>
    <t>Operating Profit Per Share (Rs)</t>
  </si>
  <si>
    <t>Net Operating Profit Per Share (Rs)</t>
  </si>
  <si>
    <t>Free Reserves Per Share (Rs)</t>
  </si>
  <si>
    <t>--</t>
  </si>
  <si>
    <t>Bonus in Equity Capital</t>
  </si>
  <si>
    <t>Profitability Ratios</t>
  </si>
  <si>
    <t>Operating Profit Margin(%)</t>
  </si>
  <si>
    <t>Profit Before Interest And Tax Margin(%)</t>
  </si>
  <si>
    <t>Gross Profit Margin(%)</t>
  </si>
  <si>
    <t>Cash Profit Margin(%)</t>
  </si>
  <si>
    <t>Adjusted Cash Margin(%)</t>
  </si>
  <si>
    <t>Net Profit Margin(%)</t>
  </si>
  <si>
    <t>Adjusted Net Profit Margin(%)</t>
  </si>
  <si>
    <t>Return On Capital Employed(%)</t>
  </si>
  <si>
    <t>Return On Net Worth(%)</t>
  </si>
  <si>
    <t>Adjusted Return on Net Worth(%)</t>
  </si>
  <si>
    <t>Return on Assets Excluding Revaluations</t>
  </si>
  <si>
    <t>Return on Assets Including Revaluations</t>
  </si>
  <si>
    <t>Return on Long Term Funds(%)</t>
  </si>
  <si>
    <t>Liquidity And Solvency Ratios</t>
  </si>
  <si>
    <t>Current Ratio</t>
  </si>
  <si>
    <t>Quick Ratio</t>
  </si>
  <si>
    <t>Debt Equity Ratio</t>
  </si>
  <si>
    <t>Long Term Debt Equity Ratio</t>
  </si>
  <si>
    <t>Debt Coverage Ratios</t>
  </si>
  <si>
    <t>Interest Cover</t>
  </si>
  <si>
    <t>Total Debt to Owners Fund</t>
  </si>
  <si>
    <t>Financial Charges Coverage Ratio</t>
  </si>
  <si>
    <t>Financial Charges Coverage Ratio Post Tax</t>
  </si>
  <si>
    <t>Management Efficiency Ratios</t>
  </si>
  <si>
    <t>Debtors Turnover Ratio</t>
  </si>
  <si>
    <t>Investments Turnover Ratio</t>
  </si>
  <si>
    <t>Fixed Assets Turnover Ratio</t>
  </si>
  <si>
    <t>Total Assets Turnover Ratio</t>
  </si>
  <si>
    <t>Average Raw Material Holding</t>
  </si>
  <si>
    <t>Average Finished Goods Held</t>
  </si>
  <si>
    <t>Number of Days In Working Capital</t>
  </si>
  <si>
    <t>Profit &amp; Loss Account Ratios</t>
  </si>
  <si>
    <t>Material Cost Composition</t>
  </si>
  <si>
    <t>Imported Composition of Raw Materials Consumed</t>
  </si>
  <si>
    <t>Selling Distribution Cost Composition</t>
  </si>
  <si>
    <t>Expenses as Composition of Total Sales</t>
  </si>
  <si>
    <t>Cash Flow Indicator Ratios</t>
  </si>
  <si>
    <t>Dividend Payout Ratio Net Profit</t>
  </si>
  <si>
    <t>Dividend Payout Ratio Cash Profit</t>
  </si>
  <si>
    <t>Earning Retention Ratio</t>
  </si>
  <si>
    <t>Cash Earning Retention Ratio</t>
  </si>
  <si>
    <t>AdjustedCash Flow Times</t>
  </si>
  <si>
    <t xml:space="preserve">SAIL FINANCIAL RATIOS </t>
  </si>
  <si>
    <t>https://www.moneycontrol.com/financials/steelauthorityindia/ratiosVI/sai#sai</t>
  </si>
  <si>
    <t>higher</t>
  </si>
  <si>
    <t>H/L is better?</t>
  </si>
  <si>
    <t>It shows the company can cover its short-term debts with current assets.</t>
  </si>
  <si>
    <t>Since steel companies hold significant "Work-in-Progress" inventory that isn't easily liquidated, a strong quick ratio (excluding inventory) ensures immediate bills can be paid.</t>
  </si>
  <si>
    <t>Lower</t>
  </si>
  <si>
    <t>High leverage in a cyclical industry is risky; if steel prices drop, a highly indebted company may struggle.</t>
  </si>
  <si>
    <t>This indicates how many times the company can pay its interest expenses out of its operating profits.</t>
  </si>
  <si>
    <t>Higher</t>
  </si>
  <si>
    <t>This is a critical metric for banks, showing the company's ability to cover both principal and interest payments.</t>
  </si>
  <si>
    <t>It shows how well those massive blast furnaces and rolling mills are actually generating income.</t>
  </si>
  <si>
    <t>This measures the return for shareholders.</t>
  </si>
  <si>
    <t>In capital-heavy industries, ROCE is often considered the "gold standard" for measuring how effectively all capital (debt + equity) is being used.</t>
  </si>
  <si>
    <t>lower</t>
  </si>
  <si>
    <t>Steel is heavy and expensive to store. Faster turnover means less capital is tied up in piles of metal and raw materials.</t>
  </si>
  <si>
    <t>This indicates the company is efficient at collecting payments from its customers (construction firms, automakers, etc.).</t>
  </si>
  <si>
    <t>This suggests the company is effectively using "interest-free" credit from its suppliers, though it must be careful not to damage supplier relationships.</t>
  </si>
  <si>
    <t>This reflects how much revenue is generated for every dollar invested in the steel plant and equipment.</t>
  </si>
  <si>
    <t>decreasing - lower ca or higher cl?</t>
  </si>
  <si>
    <t>decreasing - lower qa or higher cl?</t>
  </si>
  <si>
    <t>increasing - higher gp (higher rev or lower cogs) or lower rev from ops</t>
  </si>
  <si>
    <t>increasing - higher EBIT (higher rev or lower cogs/sga/da) or lower rev from ops</t>
  </si>
  <si>
    <t>increasing - higher np (higher rev or lower exp) or lower rev from ops</t>
  </si>
  <si>
    <t>increasing - higher np (higher rev or lower exp) or lower assets</t>
  </si>
  <si>
    <t>increase then decrease - EBIT (rev from ops, cogs, sga, da) and fixed assets (total asset - cl)</t>
  </si>
  <si>
    <t>decreasing - lower cogs or increasing inventories</t>
  </si>
  <si>
    <t>decreasing - lower cogs or increasing payables</t>
  </si>
  <si>
    <t>decreasing - lower rev from ops or higher total assets</t>
  </si>
  <si>
    <t>stable then increase - higher liabilities or lower equity</t>
  </si>
  <si>
    <t xml:space="preserve">increase then decrease - EBIT (rev from ops, cogs, sga, da) and total assets </t>
  </si>
  <si>
    <t xml:space="preserve">Quick </t>
  </si>
  <si>
    <t>Current</t>
  </si>
  <si>
    <t>Operating Profit</t>
  </si>
  <si>
    <t>Net Profit</t>
  </si>
  <si>
    <t>Inventory</t>
  </si>
  <si>
    <t>Receivables</t>
  </si>
  <si>
    <t>Payables</t>
  </si>
  <si>
    <t>Asset</t>
  </si>
  <si>
    <t>D/E</t>
  </si>
  <si>
    <t>ICR</t>
  </si>
  <si>
    <t>DSCR</t>
  </si>
  <si>
    <t>H/L?</t>
  </si>
  <si>
    <t>(as per 2025 ratios)</t>
  </si>
  <si>
    <t>JSPL</t>
  </si>
  <si>
    <t>Tata</t>
  </si>
  <si>
    <t>SAIL</t>
  </si>
  <si>
    <t xml:space="preserve">SAIL </t>
  </si>
  <si>
    <t xml:space="preserve">Tata </t>
  </si>
  <si>
    <t xml:space="preserve">JSPL </t>
  </si>
  <si>
    <t xml:space="preserve">9/15 ratios </t>
  </si>
  <si>
    <t>Tata Steel has performed better than its chosen peers</t>
  </si>
  <si>
    <t>3/15 ratios</t>
  </si>
  <si>
    <t>Indicative of specific factors to be looked into - variance and reasons</t>
  </si>
  <si>
    <t xml:space="preserve">Decent performances with room for improvement </t>
  </si>
  <si>
    <t>increase then decrease - PAT and Equity</t>
  </si>
  <si>
    <t>CA decreasing by 9% yoy - inventories, investments, loans; accompanied by a slight increase in CL mainy due to trade payables</t>
  </si>
  <si>
    <t>consistent decrease in revenue coupled with lower COGS as compared to SGA/DA</t>
  </si>
  <si>
    <t>consistent decrease in revenue coupled with lower COGS as compared to SGA/DA/Exceptional Items/Finance Cost</t>
  </si>
  <si>
    <t>mainly impacted by reduced COGS as revenue was declining and assets were increasing</t>
  </si>
  <si>
    <t>PAT (25%) increased more than Equity (1.6%), hence the increase; PAT (12%) decreased more than equity (10%), hence the decrease</t>
  </si>
  <si>
    <t>lower COGS</t>
  </si>
  <si>
    <t>lower receivables</t>
  </si>
  <si>
    <t>increasing - increasing net rev from ops or lower receivables</t>
  </si>
  <si>
    <t>lower COGS AND increasing payables</t>
  </si>
  <si>
    <t>equity decreased AND total liabilities increased causing the increase</t>
  </si>
  <si>
    <t>increase - increase in EBIT mainly due to decrease in COGS (10%) despite increase in FA (3.5%); decrease - lower EBIT coupled with further increase in FA</t>
  </si>
  <si>
    <t xml:space="preserve">increase then decrease -  EBIT (rev from ops, cogs, sga, da) and principal repayment/interest </t>
  </si>
  <si>
    <t>(more of) lower rev from ops AND higher total assets</t>
  </si>
  <si>
    <t>Asset Turnover ratio also to be taken with caution as revenue was lower due to realisable value despite higher deliveries, also new assets introduced in kalinganagar expansion yet to yield results as they just started operations</t>
  </si>
  <si>
    <t xml:space="preserve">The culprit is the Kalinganagar Phase 2 expansion — Tata Steel has borrowed aggressively, pushing non-current borrowings up by ~₹14,325 Cr in FY25 alone. This simultaneously inflates current liabilities (commercial paper, current maturities), swells inventory (steel inputs), and reduces free cash. </t>
  </si>
  <si>
    <t xml:space="preserve">it's in a heavy investment phase — CAPEX work-in-progress nearly tripled from FY2022 to FY2025 (₹14,159 cr to ₹34,189 cr), funded by a sharp rise in long-term debt. </t>
  </si>
  <si>
    <t>This explains almost every "declining" ratio: weaker liquidity, higher D/E, falling asset turnover, dipping ROCE. These are not signs of a struggling company — they're the fingerprints of a company investing aggressively for future growth.</t>
  </si>
  <si>
    <r>
      <rPr>
        <b/>
        <sz val="12"/>
        <color theme="1"/>
        <rFont val="Aptos Narrow"/>
        <family val="2"/>
        <scheme val="minor"/>
      </rPr>
      <t>Liquidity</t>
    </r>
    <r>
      <rPr>
        <sz val="12"/>
        <color theme="1"/>
        <rFont val="Aptos Narrow"/>
        <family val="2"/>
        <scheme val="minor"/>
      </rPr>
      <t xml:space="preserve"> - Not the best, also has been decreasing</t>
    </r>
  </si>
  <si>
    <r>
      <rPr>
        <b/>
        <sz val="12"/>
        <color theme="1"/>
        <rFont val="Aptos Narrow"/>
        <family val="2"/>
        <scheme val="minor"/>
      </rPr>
      <t>Solvency</t>
    </r>
    <r>
      <rPr>
        <sz val="12"/>
        <color theme="1"/>
        <rFont val="Aptos Narrow"/>
        <family val="2"/>
        <scheme val="minor"/>
      </rPr>
      <t xml:space="preserve"> - Decent position when compared with peers despite decrease in coverage ratios. The D/E crossing 1.0× for the first time is a key flag</t>
    </r>
  </si>
  <si>
    <r>
      <rPr>
        <b/>
        <sz val="12"/>
        <color theme="1"/>
        <rFont val="Aptos Narrow"/>
        <family val="2"/>
        <scheme val="minor"/>
      </rPr>
      <t>Profitability</t>
    </r>
    <r>
      <rPr>
        <sz val="12"/>
        <color theme="1"/>
        <rFont val="Aptos Narrow"/>
        <family val="2"/>
        <scheme val="minor"/>
      </rPr>
      <t xml:space="preserve"> - Outperforming chosen peers while providing increasing margins and returns. This is fundamentally driven by its captive iron ore mines (Noamundi, Joda) and high-value product mix (automotive-grade flat steel), which compress COGS and protect margins even when HRC prices fall.</t>
    </r>
  </si>
  <si>
    <r>
      <rPr>
        <b/>
        <sz val="12"/>
        <color theme="1"/>
        <rFont val="Aptos Narrow"/>
        <family val="2"/>
        <scheme val="minor"/>
      </rPr>
      <t>Turnover</t>
    </r>
    <r>
      <rPr>
        <sz val="12"/>
        <color theme="1"/>
        <rFont val="Aptos Narrow"/>
        <family val="2"/>
        <scheme val="minor"/>
      </rPr>
      <t xml:space="preserve"> - Considering lower COGS is due to decrease in prices rather than volume which has led to decrease in Inventory Turnover Ratio, cannot say decrease is a 100% negative indicator, can look into why/how JSPL is performing better</t>
    </r>
  </si>
  <si>
    <t>Inventories account for 60 to 68% of CA, locking up most CA in stock; accompanied by a slight increase in CL mainy due to trade payables</t>
  </si>
  <si>
    <t>GP margin advantage flows down to the operating and net profit level</t>
  </si>
  <si>
    <r>
      <rPr>
        <sz val="12"/>
        <color rgb="FFFF0000"/>
        <rFont val="Aptos Narrow"/>
        <family val="2"/>
        <scheme val="minor"/>
      </rPr>
      <t>higher GP due to lower COGS</t>
    </r>
    <r>
      <rPr>
        <sz val="12"/>
        <color theme="1"/>
        <rFont val="Aptos Narrow"/>
        <family val="2"/>
        <scheme val="minor"/>
      </rPr>
      <t>, reduced revenue from operations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</si>
</sst>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1" x14ac:knownFonts="1">
    <font>
      <sz val="12"/>
      <color theme="1"/>
      <name val="Aptos Narrow"/>
      <family val="2"/>
      <scheme val="minor"/>
    </font>
    <font>
      <sz val="12"/>
      <color theme="1"/>
      <name val="Aptos Narrow"/>
      <family val="2"/>
      <scheme val="minor"/>
    </font>
    <font>
      <sz val="12"/>
      <color rgb="FF9C0006"/>
      <name val="Aptos Narrow"/>
      <family val="2"/>
      <scheme val="minor"/>
    </font>
    <font>
      <b/>
      <sz val="16"/>
      <color theme="1"/>
      <name val="Times New Roman"/>
      <family val="1"/>
    </font>
    <font>
      <sz val="12"/>
      <color theme="1"/>
      <name val="Times New Roman"/>
      <family val="1"/>
    </font>
    <font>
      <b/>
      <sz val="12"/>
      <color theme="1"/>
      <name val="Times New Roman"/>
      <family val="1"/>
    </font>
    <font>
      <b/>
      <sz val="11"/>
      <name val="Calibri"/>
      <family val="2"/>
    </font>
    <font>
      <b/>
      <sz val="11"/>
      <name val="Times New Roman"/>
      <family val="1"/>
    </font>
    <font>
      <sz val="11"/>
      <name val="Times New Roman"/>
      <family val="1"/>
    </font>
    <font>
      <i/>
      <sz val="11"/>
      <name val="Times New Roman"/>
      <family val="1"/>
    </font>
    <font>
      <i/>
      <sz val="12"/>
      <color theme="1"/>
      <name val="Times New Roman"/>
      <family val="1"/>
    </font>
    <font>
      <b/>
      <i/>
      <sz val="12"/>
      <color theme="1"/>
      <name val="Times New Roman"/>
      <family val="1"/>
    </font>
    <font>
      <b/>
      <i/>
      <sz val="12"/>
      <color theme="3"/>
      <name val="Times New Roman"/>
      <family val="1"/>
    </font>
    <font>
      <sz val="8"/>
      <name val="Aptos Narrow"/>
      <family val="2"/>
      <scheme val="minor"/>
    </font>
    <font>
      <b/>
      <sz val="14"/>
      <color theme="1"/>
      <name val="Times New Roman"/>
      <family val="1"/>
    </font>
    <font>
      <i/>
      <sz val="9"/>
      <color theme="1"/>
      <name val="Helvetica"/>
      <family val="2"/>
    </font>
    <font>
      <u/>
      <sz val="12"/>
      <color theme="10"/>
      <name val="Aptos Narrow"/>
      <family val="2"/>
      <scheme val="minor"/>
    </font>
    <font>
      <sz val="12"/>
      <name val="Aptos Narrow"/>
      <family val="2"/>
      <scheme val="minor"/>
    </font>
    <font>
      <sz val="12"/>
      <name val="Times New Roman"/>
      <family val="1"/>
    </font>
    <font>
      <b/>
      <sz val="12"/>
      <color theme="1"/>
      <name val="Aptos Narrow"/>
      <family val="2"/>
      <scheme val="minor"/>
    </font>
    <font>
      <sz val="12"/>
      <color rgb="FFFF0000"/>
      <name val="Aptos Narrow"/>
      <family val="2"/>
      <scheme val="minor"/>
    </font>
  </fonts>
  <fills count="10">
    <fill>
      <patternFill patternType="none"/>
    </fill>
    <fill>
      <patternFill patternType="gray125"/>
    </fill>
    <fill>
      <patternFill patternType="solid">
        <fgColor rgb="FFFFC7CE"/>
      </patternFill>
    </fill>
    <fill>
      <patternFill patternType="solid">
        <fgColor theme="3" tint="0.749992370372631"/>
        <bgColor indexed="64"/>
      </patternFill>
    </fill>
    <fill>
      <patternFill patternType="solid">
        <fgColor theme="3" tint="0.89999084444715716"/>
        <bgColor indexed="64"/>
      </patternFill>
    </fill>
    <fill>
      <patternFill patternType="solid">
        <fgColor rgb="FFD9EAF7"/>
      </patternFill>
    </fill>
    <fill>
      <patternFill patternType="solid">
        <fgColor rgb="FFFFFFFF"/>
        <bgColor indexed="64"/>
      </patternFill>
    </fill>
    <fill>
      <patternFill patternType="solid">
        <fgColor rgb="FFFFC000"/>
        <bgColor indexed="64"/>
      </patternFill>
    </fill>
    <fill>
      <patternFill patternType="solid">
        <fgColor rgb="FFFF0000"/>
        <bgColor indexed="64"/>
      </patternFill>
    </fill>
    <fill>
      <patternFill patternType="solid">
        <fgColor theme="6" tint="0.79998168889431442"/>
        <bgColor indexed="64"/>
      </patternFill>
    </fill>
  </fills>
  <borders count="61">
    <border>
      <left/>
      <right/>
      <top/>
      <bottom/>
      <diagonal/>
    </border>
    <border>
      <left/>
      <right/>
      <top/>
      <bottom style="thick">
        <color auto="1"/>
      </bottom>
      <diagonal/>
    </border>
    <border>
      <left/>
      <right/>
      <top style="medium">
        <color theme="3"/>
      </top>
      <bottom style="thin">
        <color theme="3"/>
      </bottom>
      <diagonal/>
    </border>
    <border>
      <left/>
      <right/>
      <top/>
      <bottom style="medium">
        <color auto="1"/>
      </bottom>
      <diagonal/>
    </border>
    <border>
      <left/>
      <right/>
      <top style="medium">
        <color auto="1"/>
      </top>
      <bottom style="thin">
        <color auto="1"/>
      </bottom>
      <diagonal/>
    </border>
    <border>
      <left style="thick">
        <color auto="1"/>
      </left>
      <right/>
      <top style="thick">
        <color auto="1"/>
      </top>
      <bottom style="medium">
        <color theme="3"/>
      </bottom>
      <diagonal/>
    </border>
    <border>
      <left/>
      <right/>
      <top style="thick">
        <color auto="1"/>
      </top>
      <bottom style="medium">
        <color theme="3"/>
      </bottom>
      <diagonal/>
    </border>
    <border>
      <left/>
      <right style="thick">
        <color auto="1"/>
      </right>
      <top style="thick">
        <color auto="1"/>
      </top>
      <bottom style="medium">
        <color theme="3"/>
      </bottom>
      <diagonal/>
    </border>
    <border>
      <left style="thick">
        <color auto="1"/>
      </left>
      <right/>
      <top style="medium">
        <color theme="3"/>
      </top>
      <bottom style="thin">
        <color theme="3"/>
      </bottom>
      <diagonal/>
    </border>
    <border>
      <left/>
      <right style="thick">
        <color auto="1"/>
      </right>
      <top style="medium">
        <color theme="3"/>
      </top>
      <bottom style="thin">
        <color theme="3"/>
      </bottom>
      <diagonal/>
    </border>
    <border>
      <left style="thick">
        <color auto="1"/>
      </left>
      <right/>
      <top/>
      <bottom/>
      <diagonal/>
    </border>
    <border>
      <left/>
      <right style="thick">
        <color auto="1"/>
      </right>
      <top/>
      <bottom/>
      <diagonal/>
    </border>
    <border>
      <left style="thick">
        <color auto="1"/>
      </left>
      <right/>
      <top/>
      <bottom style="medium">
        <color auto="1"/>
      </bottom>
      <diagonal/>
    </border>
    <border>
      <left/>
      <right style="thick">
        <color auto="1"/>
      </right>
      <top/>
      <bottom style="medium">
        <color auto="1"/>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style="thick">
        <color auto="1"/>
      </bottom>
      <diagonal/>
    </border>
    <border>
      <left/>
      <right style="thick">
        <color auto="1"/>
      </right>
      <top/>
      <bottom style="thick">
        <color auto="1"/>
      </bottom>
      <diagonal/>
    </border>
    <border>
      <left/>
      <right/>
      <top style="thick">
        <color theme="3"/>
      </top>
      <bottom style="medium">
        <color theme="3"/>
      </bottom>
      <diagonal/>
    </border>
    <border>
      <left/>
      <right/>
      <top/>
      <bottom style="thin">
        <color indexed="64"/>
      </bottom>
      <diagonal/>
    </border>
    <border>
      <left/>
      <right/>
      <top style="thin">
        <color indexed="64"/>
      </top>
      <bottom style="medium">
        <color indexed="64"/>
      </bottom>
      <diagonal/>
    </border>
    <border>
      <left/>
      <right/>
      <top style="medium">
        <color auto="1"/>
      </top>
      <bottom style="medium">
        <color auto="1"/>
      </bottom>
      <diagonal/>
    </border>
    <border>
      <left/>
      <right style="medium">
        <color indexed="64"/>
      </right>
      <top/>
      <bottom/>
      <diagonal/>
    </border>
    <border>
      <left style="medium">
        <color indexed="64"/>
      </left>
      <right/>
      <top/>
      <bottom style="thin">
        <color theme="1"/>
      </bottom>
      <diagonal/>
    </border>
    <border>
      <left/>
      <right/>
      <top/>
      <bottom style="thin">
        <color theme="1"/>
      </bottom>
      <diagonal/>
    </border>
    <border>
      <left/>
      <right style="medium">
        <color theme="1"/>
      </right>
      <top/>
      <bottom style="thin">
        <color theme="1"/>
      </bottom>
      <diagonal/>
    </border>
    <border>
      <left style="medium">
        <color indexed="64"/>
      </left>
      <right/>
      <top/>
      <bottom/>
      <diagonal/>
    </border>
    <border>
      <left/>
      <right style="medium">
        <color indexed="64"/>
      </right>
      <top/>
      <bottom style="thin">
        <color theme="1"/>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right style="thick">
        <color indexed="64"/>
      </right>
      <top/>
      <bottom style="thin">
        <color indexed="64"/>
      </bottom>
      <diagonal/>
    </border>
    <border>
      <left/>
      <right/>
      <top style="thick">
        <color indexed="64"/>
      </top>
      <bottom style="medium">
        <color indexed="64"/>
      </bottom>
      <diagonal/>
    </border>
    <border>
      <left/>
      <right/>
      <top style="thin">
        <color indexed="64"/>
      </top>
      <bottom style="thin">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indexed="64"/>
      </bottom>
      <diagonal/>
    </border>
    <border>
      <left style="thick">
        <color indexed="64"/>
      </left>
      <right/>
      <top style="thick">
        <color indexed="64"/>
      </top>
      <bottom style="thick">
        <color theme="3"/>
      </bottom>
      <diagonal/>
    </border>
    <border>
      <left/>
      <right/>
      <top style="thick">
        <color indexed="64"/>
      </top>
      <bottom style="thick">
        <color theme="3"/>
      </bottom>
      <diagonal/>
    </border>
    <border>
      <left/>
      <right style="thick">
        <color indexed="64"/>
      </right>
      <top style="thick">
        <color indexed="64"/>
      </top>
      <bottom style="thick">
        <color theme="3"/>
      </bottom>
      <diagonal/>
    </border>
    <border>
      <left style="thick">
        <color indexed="64"/>
      </left>
      <right/>
      <top style="thick">
        <color theme="3"/>
      </top>
      <bottom style="medium">
        <color theme="3"/>
      </bottom>
      <diagonal/>
    </border>
    <border>
      <left/>
      <right style="thick">
        <color indexed="64"/>
      </right>
      <top style="thick">
        <color theme="3"/>
      </top>
      <bottom style="medium">
        <color theme="3"/>
      </bottom>
      <diagonal/>
    </border>
    <border>
      <left style="thick">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top style="medium">
        <color auto="1"/>
      </top>
      <bottom style="medium">
        <color auto="1"/>
      </bottom>
      <diagonal/>
    </border>
    <border>
      <left/>
      <right style="thick">
        <color indexed="64"/>
      </right>
      <top style="medium">
        <color auto="1"/>
      </top>
      <bottom style="medium">
        <color auto="1"/>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style="thick">
        <color indexed="64"/>
      </top>
      <bottom style="thin">
        <color theme="1"/>
      </bottom>
      <diagonal/>
    </border>
    <border>
      <left style="medium">
        <color rgb="FFEEEEEE"/>
      </left>
      <right style="medium">
        <color rgb="FFEEEEEE"/>
      </right>
      <top/>
      <bottom/>
      <diagonal/>
    </border>
    <border>
      <left/>
      <right/>
      <top/>
      <bottom style="medium">
        <color rgb="FFEEEEEE"/>
      </bottom>
      <diagonal/>
    </border>
    <border>
      <left style="medium">
        <color rgb="FFEEEEEE"/>
      </left>
      <right/>
      <top/>
      <bottom/>
      <diagonal/>
    </border>
    <border>
      <left/>
      <right style="medium">
        <color rgb="FFEEEEEE"/>
      </right>
      <top/>
      <bottom/>
      <diagonal/>
    </border>
    <border>
      <left style="medium">
        <color rgb="FFEEEEEE"/>
      </left>
      <right/>
      <top style="medium">
        <color rgb="FFEEEEEE"/>
      </top>
      <bottom/>
      <diagonal/>
    </border>
    <border>
      <left/>
      <right style="medium">
        <color rgb="FFEEEEEE"/>
      </right>
      <top style="medium">
        <color rgb="FFEEEEEE"/>
      </top>
      <bottom/>
      <diagonal/>
    </border>
  </borders>
  <cellStyleXfs count="4">
    <xf numFmtId="0" fontId="0" fillId="0" borderId="0"/>
    <xf numFmtId="164" fontId="1" fillId="0" borderId="0" applyFont="0" applyFill="0" applyBorder="0" applyAlignment="0" applyProtection="0"/>
    <xf numFmtId="0" fontId="2" fillId="2" borderId="0" applyNumberFormat="0" applyBorder="0" applyAlignment="0" applyProtection="0"/>
    <xf numFmtId="0" fontId="16" fillId="0" borderId="0" applyNumberFormat="0" applyFill="0" applyBorder="0" applyAlignment="0" applyProtection="0"/>
  </cellStyleXfs>
  <cellXfs count="237">
    <xf numFmtId="0" fontId="0" fillId="0" borderId="0" xfId="0"/>
    <xf numFmtId="0" fontId="4" fillId="0" borderId="0" xfId="0" applyFont="1"/>
    <xf numFmtId="0" fontId="4" fillId="0" borderId="0" xfId="0" applyFont="1" applyAlignment="1">
      <alignment horizontal="center"/>
    </xf>
    <xf numFmtId="0" fontId="4" fillId="0" borderId="0" xfId="0" applyFont="1" applyAlignment="1">
      <alignment horizontal="right"/>
    </xf>
    <xf numFmtId="0" fontId="7" fillId="0" borderId="0" xfId="0" applyFont="1"/>
    <xf numFmtId="4" fontId="4" fillId="0" borderId="0" xfId="0" applyNumberFormat="1" applyFont="1"/>
    <xf numFmtId="4" fontId="7" fillId="0" borderId="0" xfId="0" applyNumberFormat="1" applyFont="1"/>
    <xf numFmtId="0" fontId="8" fillId="0" borderId="0" xfId="0" applyFont="1"/>
    <xf numFmtId="4" fontId="8" fillId="0" borderId="0" xfId="0" applyNumberFormat="1" applyFont="1"/>
    <xf numFmtId="4" fontId="7" fillId="3" borderId="3" xfId="0" applyNumberFormat="1" applyFont="1" applyFill="1" applyBorder="1"/>
    <xf numFmtId="0" fontId="7" fillId="5" borderId="5" xfId="0" applyFont="1" applyFill="1" applyBorder="1" applyAlignment="1">
      <alignment horizontal="center" vertical="center"/>
    </xf>
    <xf numFmtId="0" fontId="7" fillId="5" borderId="6" xfId="0" applyFont="1" applyFill="1" applyBorder="1" applyAlignment="1">
      <alignment horizontal="left" vertical="center"/>
    </xf>
    <xf numFmtId="0" fontId="7" fillId="5" borderId="6" xfId="0" applyFont="1" applyFill="1" applyBorder="1" applyAlignment="1">
      <alignment horizontal="right" vertical="center"/>
    </xf>
    <xf numFmtId="0" fontId="7" fillId="5" borderId="7" xfId="0" applyFont="1" applyFill="1" applyBorder="1" applyAlignment="1">
      <alignment horizontal="right" vertical="center"/>
    </xf>
    <xf numFmtId="0" fontId="8" fillId="0" borderId="10" xfId="0" applyFont="1" applyBorder="1" applyAlignment="1">
      <alignment horizontal="center"/>
    </xf>
    <xf numFmtId="0" fontId="7" fillId="0" borderId="11" xfId="0" applyFont="1" applyBorder="1"/>
    <xf numFmtId="0" fontId="4" fillId="0" borderId="10" xfId="0" applyFont="1" applyBorder="1" applyAlignment="1">
      <alignment horizontal="center"/>
    </xf>
    <xf numFmtId="4" fontId="4" fillId="0" borderId="11" xfId="0" applyNumberFormat="1" applyFont="1" applyBorder="1"/>
    <xf numFmtId="0" fontId="4" fillId="0" borderId="11" xfId="0" applyFont="1" applyBorder="1"/>
    <xf numFmtId="0" fontId="7" fillId="0" borderId="10" xfId="0" applyFont="1" applyBorder="1" applyAlignment="1">
      <alignment horizontal="center"/>
    </xf>
    <xf numFmtId="4" fontId="7" fillId="0" borderId="11" xfId="0" applyNumberFormat="1" applyFont="1" applyBorder="1"/>
    <xf numFmtId="4" fontId="7" fillId="3" borderId="13" xfId="0" applyNumberFormat="1" applyFont="1" applyFill="1" applyBorder="1"/>
    <xf numFmtId="0" fontId="8" fillId="0" borderId="11" xfId="0" applyFont="1" applyBorder="1"/>
    <xf numFmtId="4" fontId="8" fillId="0" borderId="11" xfId="0" applyNumberFormat="1" applyFont="1" applyBorder="1"/>
    <xf numFmtId="0" fontId="6" fillId="0" borderId="10" xfId="0" applyFont="1" applyBorder="1"/>
    <xf numFmtId="0" fontId="4" fillId="0" borderId="16" xfId="0" applyFont="1" applyBorder="1"/>
    <xf numFmtId="0" fontId="4" fillId="0" borderId="1" xfId="0" applyFont="1" applyBorder="1" applyAlignment="1">
      <alignment horizontal="right"/>
    </xf>
    <xf numFmtId="0" fontId="4" fillId="0" borderId="17" xfId="0" applyFont="1" applyBorder="1" applyAlignment="1">
      <alignment horizontal="right"/>
    </xf>
    <xf numFmtId="0" fontId="9" fillId="0" borderId="10" xfId="0" applyFont="1" applyBorder="1" applyAlignment="1">
      <alignment horizontal="center"/>
    </xf>
    <xf numFmtId="0" fontId="9" fillId="0" borderId="0" xfId="0" applyFont="1"/>
    <xf numFmtId="0" fontId="10" fillId="0" borderId="1" xfId="0" applyFont="1" applyBorder="1" applyAlignment="1">
      <alignment horizontal="center"/>
    </xf>
    <xf numFmtId="0" fontId="10" fillId="0" borderId="10" xfId="0" applyFont="1" applyBorder="1" applyAlignment="1">
      <alignment horizontal="center"/>
    </xf>
    <xf numFmtId="0" fontId="10" fillId="0" borderId="0" xfId="0" applyFont="1"/>
    <xf numFmtId="4" fontId="5" fillId="0" borderId="0" xfId="0" applyNumberFormat="1" applyFont="1" applyAlignment="1">
      <alignment horizontal="right"/>
    </xf>
    <xf numFmtId="4" fontId="5" fillId="0" borderId="11" xfId="0" applyNumberFormat="1" applyFont="1" applyBorder="1" applyAlignment="1">
      <alignment horizontal="right"/>
    </xf>
    <xf numFmtId="164" fontId="4" fillId="0" borderId="0" xfId="1" applyFont="1"/>
    <xf numFmtId="164" fontId="4" fillId="0" borderId="0" xfId="1" applyFont="1" applyAlignment="1">
      <alignment horizontal="center"/>
    </xf>
    <xf numFmtId="164" fontId="4" fillId="0" borderId="0" xfId="1" applyFont="1" applyAlignment="1">
      <alignment horizontal="right"/>
    </xf>
    <xf numFmtId="164" fontId="4" fillId="0" borderId="19" xfId="1" applyFont="1" applyBorder="1" applyAlignment="1">
      <alignment horizontal="center"/>
    </xf>
    <xf numFmtId="164" fontId="4" fillId="0" borderId="19" xfId="1" applyFont="1" applyBorder="1" applyAlignment="1">
      <alignment horizontal="right"/>
    </xf>
    <xf numFmtId="164" fontId="4" fillId="0" borderId="19" xfId="1" applyFont="1" applyBorder="1" applyAlignment="1">
      <alignment horizontal="center" wrapText="1"/>
    </xf>
    <xf numFmtId="164" fontId="4" fillId="0" borderId="19" xfId="1" applyFont="1" applyBorder="1" applyAlignment="1">
      <alignment horizontal="right" vertical="center"/>
    </xf>
    <xf numFmtId="164" fontId="4" fillId="0" borderId="20" xfId="1" applyFont="1" applyBorder="1" applyAlignment="1">
      <alignment horizontal="center"/>
    </xf>
    <xf numFmtId="164" fontId="4" fillId="0" borderId="20" xfId="1" applyFont="1" applyBorder="1" applyAlignment="1">
      <alignment horizontal="right"/>
    </xf>
    <xf numFmtId="164" fontId="4" fillId="0" borderId="0" xfId="1" applyFont="1" applyFill="1" applyBorder="1" applyAlignment="1">
      <alignment horizontal="left" vertical="center"/>
    </xf>
    <xf numFmtId="164" fontId="4" fillId="0" borderId="0" xfId="1" applyFont="1" applyFill="1" applyBorder="1" applyAlignment="1">
      <alignment horizontal="right" vertical="center"/>
    </xf>
    <xf numFmtId="164" fontId="4" fillId="0" borderId="22" xfId="1" applyFont="1" applyFill="1" applyBorder="1" applyAlignment="1">
      <alignment horizontal="right" vertical="center"/>
    </xf>
    <xf numFmtId="164" fontId="5" fillId="0" borderId="23" xfId="1" applyFont="1" applyBorder="1"/>
    <xf numFmtId="164" fontId="5" fillId="0" borderId="24" xfId="1" applyFont="1" applyBorder="1"/>
    <xf numFmtId="164" fontId="4" fillId="0" borderId="26" xfId="1" applyFont="1" applyBorder="1"/>
    <xf numFmtId="164" fontId="4" fillId="0" borderId="0" xfId="1" applyFont="1" applyBorder="1"/>
    <xf numFmtId="164" fontId="4" fillId="0" borderId="22" xfId="1" applyFont="1" applyBorder="1"/>
    <xf numFmtId="164" fontId="5" fillId="0" borderId="27" xfId="1" applyFont="1" applyBorder="1"/>
    <xf numFmtId="164" fontId="4" fillId="0" borderId="30" xfId="1" applyFont="1" applyBorder="1"/>
    <xf numFmtId="164" fontId="4" fillId="0" borderId="31" xfId="1" applyFont="1" applyBorder="1"/>
    <xf numFmtId="164" fontId="4" fillId="0" borderId="32" xfId="1" applyFont="1" applyBorder="1"/>
    <xf numFmtId="0" fontId="4" fillId="0" borderId="26" xfId="0" applyFont="1" applyBorder="1"/>
    <xf numFmtId="4" fontId="4" fillId="0" borderId="22" xfId="0" applyNumberFormat="1" applyFont="1" applyBorder="1"/>
    <xf numFmtId="0" fontId="4" fillId="0" borderId="22" xfId="0" applyFont="1" applyBorder="1"/>
    <xf numFmtId="164" fontId="4" fillId="0" borderId="22" xfId="1" applyFont="1" applyBorder="1" applyAlignment="1">
      <alignment horizontal="right"/>
    </xf>
    <xf numFmtId="164" fontId="4" fillId="0" borderId="11" xfId="1" applyFont="1" applyBorder="1" applyAlignment="1">
      <alignment horizontal="right"/>
    </xf>
    <xf numFmtId="164" fontId="4" fillId="0" borderId="36" xfId="1" applyFont="1" applyBorder="1" applyAlignment="1">
      <alignment horizontal="right"/>
    </xf>
    <xf numFmtId="164" fontId="4" fillId="0" borderId="20" xfId="1" applyFont="1" applyBorder="1" applyAlignment="1">
      <alignment horizontal="center" vertical="center" wrapText="1"/>
    </xf>
    <xf numFmtId="164" fontId="4" fillId="0" borderId="20" xfId="1" applyFont="1" applyBorder="1" applyAlignment="1">
      <alignment horizontal="right" vertical="center"/>
    </xf>
    <xf numFmtId="4" fontId="7" fillId="3" borderId="3" xfId="0" applyNumberFormat="1" applyFont="1" applyFill="1" applyBorder="1" applyAlignment="1">
      <alignment horizontal="right"/>
    </xf>
    <xf numFmtId="4" fontId="7" fillId="3" borderId="13" xfId="0" applyNumberFormat="1" applyFont="1" applyFill="1" applyBorder="1" applyAlignment="1">
      <alignment horizontal="right"/>
    </xf>
    <xf numFmtId="164" fontId="5" fillId="4" borderId="33" xfId="1" applyFont="1" applyFill="1" applyBorder="1" applyAlignment="1">
      <alignment horizontal="left" vertical="center"/>
    </xf>
    <xf numFmtId="164" fontId="5" fillId="4" borderId="34" xfId="1" applyFont="1" applyFill="1" applyBorder="1" applyAlignment="1">
      <alignment horizontal="right" vertical="center"/>
    </xf>
    <xf numFmtId="164" fontId="5" fillId="4" borderId="35" xfId="1" applyFont="1" applyFill="1" applyBorder="1" applyAlignment="1">
      <alignment horizontal="right" vertical="center"/>
    </xf>
    <xf numFmtId="164" fontId="5" fillId="3" borderId="23" xfId="1" applyFont="1" applyFill="1" applyBorder="1"/>
    <xf numFmtId="164" fontId="5" fillId="3" borderId="24" xfId="1" applyFont="1" applyFill="1" applyBorder="1"/>
    <xf numFmtId="164" fontId="5" fillId="3" borderId="25" xfId="1" applyFont="1" applyFill="1" applyBorder="1"/>
    <xf numFmtId="164" fontId="5" fillId="3" borderId="27" xfId="1" applyFont="1" applyFill="1" applyBorder="1"/>
    <xf numFmtId="164" fontId="5" fillId="3" borderId="26" xfId="1" applyFont="1" applyFill="1" applyBorder="1"/>
    <xf numFmtId="164" fontId="5" fillId="3" borderId="0" xfId="1" applyFont="1" applyFill="1" applyBorder="1"/>
    <xf numFmtId="164" fontId="5" fillId="3" borderId="22" xfId="1" applyFont="1" applyFill="1" applyBorder="1"/>
    <xf numFmtId="164" fontId="5" fillId="3" borderId="28" xfId="1" applyFont="1" applyFill="1" applyBorder="1"/>
    <xf numFmtId="164" fontId="5" fillId="3" borderId="19" xfId="1" applyFont="1" applyFill="1" applyBorder="1"/>
    <xf numFmtId="164" fontId="5" fillId="3" borderId="29" xfId="1" applyFont="1" applyFill="1" applyBorder="1"/>
    <xf numFmtId="164" fontId="5" fillId="3" borderId="0" xfId="1" applyFont="1" applyFill="1"/>
    <xf numFmtId="164" fontId="4" fillId="0" borderId="19" xfId="1" applyFont="1" applyBorder="1" applyAlignment="1">
      <alignment horizontal="center" vertical="center" wrapText="1"/>
    </xf>
    <xf numFmtId="164" fontId="4" fillId="0" borderId="38" xfId="1" applyFont="1" applyBorder="1" applyAlignment="1">
      <alignment horizontal="center"/>
    </xf>
    <xf numFmtId="164" fontId="4" fillId="0" borderId="38" xfId="1" applyFont="1" applyBorder="1" applyAlignment="1">
      <alignment horizontal="right"/>
    </xf>
    <xf numFmtId="0" fontId="3" fillId="0" borderId="0" xfId="0" applyFont="1"/>
    <xf numFmtId="0" fontId="5" fillId="0" borderId="0" xfId="0" applyFont="1"/>
    <xf numFmtId="164" fontId="5" fillId="4" borderId="37" xfId="1" applyFont="1" applyFill="1" applyBorder="1" applyAlignment="1">
      <alignment horizontal="center" vertical="center"/>
    </xf>
    <xf numFmtId="164" fontId="5" fillId="4" borderId="37" xfId="1" applyFont="1" applyFill="1" applyBorder="1" applyAlignment="1">
      <alignment horizontal="right" vertical="center"/>
    </xf>
    <xf numFmtId="164" fontId="5" fillId="4" borderId="40" xfId="1" applyFont="1" applyFill="1" applyBorder="1" applyAlignment="1">
      <alignment horizontal="right" vertical="center"/>
    </xf>
    <xf numFmtId="164" fontId="4" fillId="0" borderId="0" xfId="1" applyFont="1" applyBorder="1" applyAlignment="1">
      <alignment horizontal="center"/>
    </xf>
    <xf numFmtId="164" fontId="4" fillId="0" borderId="0" xfId="1" applyFont="1" applyBorder="1" applyAlignment="1">
      <alignment horizontal="right"/>
    </xf>
    <xf numFmtId="164" fontId="5" fillId="3" borderId="19" xfId="1" applyFont="1" applyFill="1" applyBorder="1" applyAlignment="1">
      <alignment horizontal="center"/>
    </xf>
    <xf numFmtId="164" fontId="5" fillId="3" borderId="19" xfId="1" applyFont="1" applyFill="1" applyBorder="1" applyAlignment="1">
      <alignment horizontal="right"/>
    </xf>
    <xf numFmtId="164" fontId="5" fillId="3" borderId="3" xfId="1" applyFont="1" applyFill="1" applyBorder="1" applyAlignment="1">
      <alignment horizontal="center"/>
    </xf>
    <xf numFmtId="164" fontId="4" fillId="0" borderId="16" xfId="1" applyFont="1" applyBorder="1"/>
    <xf numFmtId="164" fontId="4" fillId="0" borderId="1" xfId="1" applyFont="1" applyBorder="1" applyAlignment="1">
      <alignment horizontal="center"/>
    </xf>
    <xf numFmtId="164" fontId="4" fillId="0" borderId="1" xfId="1" applyFont="1" applyBorder="1" applyAlignment="1">
      <alignment horizontal="right"/>
    </xf>
    <xf numFmtId="164" fontId="4" fillId="0" borderId="17" xfId="1" applyFont="1" applyBorder="1" applyAlignment="1">
      <alignment horizontal="right"/>
    </xf>
    <xf numFmtId="164" fontId="5" fillId="3" borderId="36" xfId="1" applyFont="1" applyFill="1" applyBorder="1" applyAlignment="1">
      <alignment horizontal="right"/>
    </xf>
    <xf numFmtId="164" fontId="5" fillId="3" borderId="36" xfId="1" applyFont="1" applyFill="1" applyBorder="1" applyAlignment="1">
      <alignment horizontal="center"/>
    </xf>
    <xf numFmtId="164" fontId="5" fillId="3" borderId="13" xfId="1" applyFont="1" applyFill="1" applyBorder="1" applyAlignment="1">
      <alignment horizontal="center"/>
    </xf>
    <xf numFmtId="164" fontId="5" fillId="4" borderId="39" xfId="1" applyFont="1" applyFill="1" applyBorder="1" applyAlignment="1">
      <alignment horizontal="center" vertical="center"/>
    </xf>
    <xf numFmtId="164" fontId="4" fillId="0" borderId="10" xfId="1" applyFont="1" applyBorder="1" applyAlignment="1">
      <alignment horizontal="center"/>
    </xf>
    <xf numFmtId="164" fontId="5" fillId="3" borderId="41" xfId="1" applyFont="1" applyFill="1" applyBorder="1" applyAlignment="1">
      <alignment horizontal="center"/>
    </xf>
    <xf numFmtId="164" fontId="5" fillId="3" borderId="12" xfId="1" applyFont="1" applyFill="1" applyBorder="1" applyAlignment="1">
      <alignment horizontal="center"/>
    </xf>
    <xf numFmtId="164" fontId="4" fillId="0" borderId="16" xfId="1" applyFont="1" applyBorder="1" applyAlignment="1">
      <alignment horizontal="center"/>
    </xf>
    <xf numFmtId="164" fontId="5" fillId="4" borderId="37" xfId="1" applyFont="1" applyFill="1" applyBorder="1" applyAlignment="1">
      <alignment horizontal="left" vertical="center"/>
    </xf>
    <xf numFmtId="164" fontId="4" fillId="0" borderId="0" xfId="1" applyFont="1" applyBorder="1" applyAlignment="1">
      <alignment horizontal="left"/>
    </xf>
    <xf numFmtId="164" fontId="5" fillId="3" borderId="19" xfId="1" applyFont="1" applyFill="1" applyBorder="1" applyAlignment="1">
      <alignment horizontal="left"/>
    </xf>
    <xf numFmtId="164" fontId="5" fillId="3" borderId="3" xfId="1" applyFont="1" applyFill="1" applyBorder="1" applyAlignment="1">
      <alignment horizontal="left"/>
    </xf>
    <xf numFmtId="164" fontId="4" fillId="0" borderId="1" xfId="1" applyFont="1" applyBorder="1" applyAlignment="1">
      <alignment horizontal="left"/>
    </xf>
    <xf numFmtId="164" fontId="5" fillId="4" borderId="42" xfId="1" applyFont="1" applyFill="1" applyBorder="1" applyAlignment="1">
      <alignment horizontal="left" vertical="center"/>
    </xf>
    <xf numFmtId="164" fontId="5" fillId="4" borderId="43" xfId="1" applyFont="1" applyFill="1" applyBorder="1" applyAlignment="1">
      <alignment horizontal="center" vertical="center"/>
    </xf>
    <xf numFmtId="164" fontId="5" fillId="4" borderId="43" xfId="1" applyFont="1" applyFill="1" applyBorder="1" applyAlignment="1">
      <alignment horizontal="right" vertical="center"/>
    </xf>
    <xf numFmtId="164" fontId="5" fillId="4" borderId="44" xfId="1" applyFont="1" applyFill="1" applyBorder="1" applyAlignment="1">
      <alignment horizontal="right" vertical="center"/>
    </xf>
    <xf numFmtId="164" fontId="4" fillId="0" borderId="41" xfId="1" applyFont="1" applyBorder="1"/>
    <xf numFmtId="164" fontId="4" fillId="0" borderId="41" xfId="1" applyFont="1" applyBorder="1" applyAlignment="1">
      <alignment horizontal="left" vertical="center"/>
    </xf>
    <xf numFmtId="164" fontId="4" fillId="0" borderId="36" xfId="1" applyFont="1" applyBorder="1" applyAlignment="1">
      <alignment horizontal="right" vertical="center"/>
    </xf>
    <xf numFmtId="164" fontId="4" fillId="0" borderId="47" xfId="1" applyFont="1" applyBorder="1"/>
    <xf numFmtId="164" fontId="4" fillId="0" borderId="48" xfId="1" applyFont="1" applyBorder="1" applyAlignment="1">
      <alignment horizontal="right"/>
    </xf>
    <xf numFmtId="164" fontId="4" fillId="0" borderId="47" xfId="1" applyFont="1" applyBorder="1" applyAlignment="1">
      <alignment horizontal="left" vertical="center"/>
    </xf>
    <xf numFmtId="164" fontId="4" fillId="0" borderId="48" xfId="1" applyFont="1" applyBorder="1" applyAlignment="1">
      <alignment horizontal="right" vertical="center"/>
    </xf>
    <xf numFmtId="164" fontId="4" fillId="0" borderId="41" xfId="1" applyFont="1" applyBorder="1" applyAlignment="1">
      <alignment vertical="center"/>
    </xf>
    <xf numFmtId="164" fontId="4" fillId="0" borderId="51" xfId="1" applyFont="1" applyBorder="1"/>
    <xf numFmtId="164" fontId="4" fillId="0" borderId="52" xfId="1" applyFont="1" applyBorder="1" applyAlignment="1">
      <alignment horizontal="right"/>
    </xf>
    <xf numFmtId="164" fontId="4" fillId="0" borderId="47" xfId="1" applyFont="1" applyBorder="1" applyAlignment="1">
      <alignment vertical="center"/>
    </xf>
    <xf numFmtId="164" fontId="4" fillId="0" borderId="16" xfId="1" applyFont="1" applyBorder="1" applyAlignment="1">
      <alignment vertical="center"/>
    </xf>
    <xf numFmtId="164" fontId="4" fillId="0" borderId="1" xfId="1" applyFont="1" applyBorder="1" applyAlignment="1">
      <alignment horizontal="center" vertical="center" wrapText="1"/>
    </xf>
    <xf numFmtId="164" fontId="4" fillId="0" borderId="1" xfId="1" applyFont="1" applyBorder="1" applyAlignment="1">
      <alignment horizontal="right" vertical="center"/>
    </xf>
    <xf numFmtId="164" fontId="4" fillId="0" borderId="17" xfId="1" applyFont="1" applyBorder="1" applyAlignment="1">
      <alignment horizontal="right" vertical="center"/>
    </xf>
    <xf numFmtId="164" fontId="5" fillId="3" borderId="0" xfId="1" applyFont="1" applyFill="1" applyAlignment="1">
      <alignment horizontal="center"/>
    </xf>
    <xf numFmtId="164" fontId="5" fillId="3" borderId="22" xfId="1" applyFont="1" applyFill="1" applyBorder="1" applyAlignment="1">
      <alignment horizontal="center"/>
    </xf>
    <xf numFmtId="164" fontId="5" fillId="3" borderId="29" xfId="1" applyFont="1" applyFill="1" applyBorder="1" applyAlignment="1">
      <alignment horizontal="center"/>
    </xf>
    <xf numFmtId="164" fontId="4" fillId="0" borderId="30" xfId="1" applyFont="1" applyFill="1" applyBorder="1"/>
    <xf numFmtId="164" fontId="4" fillId="0" borderId="31" xfId="1" applyFont="1" applyFill="1" applyBorder="1"/>
    <xf numFmtId="164" fontId="4" fillId="0" borderId="32" xfId="1" applyFont="1" applyFill="1" applyBorder="1"/>
    <xf numFmtId="164" fontId="4" fillId="0" borderId="31" xfId="1" applyFont="1" applyBorder="1" applyAlignment="1">
      <alignment horizontal="center"/>
    </xf>
    <xf numFmtId="164" fontId="4" fillId="0" borderId="31" xfId="1" applyFont="1" applyBorder="1" applyAlignment="1">
      <alignment horizontal="right"/>
    </xf>
    <xf numFmtId="164" fontId="4" fillId="0" borderId="32" xfId="1" applyFont="1" applyBorder="1" applyAlignment="1">
      <alignment horizontal="right"/>
    </xf>
    <xf numFmtId="164" fontId="4" fillId="0" borderId="3" xfId="1" applyFont="1" applyBorder="1"/>
    <xf numFmtId="164" fontId="4" fillId="0" borderId="3" xfId="1" applyFont="1" applyBorder="1" applyAlignment="1">
      <alignment horizontal="center"/>
    </xf>
    <xf numFmtId="164" fontId="4" fillId="0" borderId="3" xfId="1" applyFont="1" applyBorder="1" applyAlignment="1">
      <alignment horizontal="right"/>
    </xf>
    <xf numFmtId="164" fontId="4" fillId="0" borderId="53" xfId="1" applyFont="1" applyBorder="1" applyAlignment="1">
      <alignment horizontal="right"/>
    </xf>
    <xf numFmtId="164" fontId="7" fillId="5" borderId="5" xfId="1" applyFont="1" applyFill="1" applyBorder="1" applyAlignment="1">
      <alignment horizontal="center" vertical="center"/>
    </xf>
    <xf numFmtId="164" fontId="7" fillId="5" borderId="6" xfId="1" applyFont="1" applyFill="1" applyBorder="1" applyAlignment="1">
      <alignment horizontal="left" vertical="center"/>
    </xf>
    <xf numFmtId="164" fontId="7" fillId="5" borderId="6" xfId="1" applyFont="1" applyFill="1" applyBorder="1" applyAlignment="1">
      <alignment horizontal="right" vertical="center"/>
    </xf>
    <xf numFmtId="164" fontId="7" fillId="5" borderId="7" xfId="1" applyFont="1" applyFill="1" applyBorder="1" applyAlignment="1">
      <alignment horizontal="right" vertical="center"/>
    </xf>
    <xf numFmtId="164" fontId="9" fillId="0" borderId="10" xfId="1" applyFont="1" applyBorder="1" applyAlignment="1">
      <alignment horizontal="center"/>
    </xf>
    <xf numFmtId="164" fontId="9" fillId="0" borderId="0" xfId="1" applyFont="1"/>
    <xf numFmtId="164" fontId="7" fillId="0" borderId="0" xfId="1" applyFont="1"/>
    <xf numFmtId="164" fontId="7" fillId="0" borderId="11" xfId="1" applyFont="1" applyBorder="1"/>
    <xf numFmtId="164" fontId="4" fillId="0" borderId="11" xfId="1" applyFont="1" applyBorder="1"/>
    <xf numFmtId="164" fontId="7" fillId="0" borderId="10" xfId="1" applyFont="1" applyBorder="1" applyAlignment="1">
      <alignment horizontal="center"/>
    </xf>
    <xf numFmtId="164" fontId="5" fillId="0" borderId="0" xfId="1" applyFont="1" applyAlignment="1">
      <alignment horizontal="right"/>
    </xf>
    <xf numFmtId="164" fontId="5" fillId="0" borderId="11" xfId="1" applyFont="1" applyBorder="1" applyAlignment="1">
      <alignment horizontal="right"/>
    </xf>
    <xf numFmtId="164" fontId="10" fillId="0" borderId="10" xfId="1" applyFont="1" applyBorder="1" applyAlignment="1">
      <alignment horizontal="center"/>
    </xf>
    <xf numFmtId="164" fontId="10" fillId="0" borderId="0" xfId="1" applyFont="1"/>
    <xf numFmtId="164" fontId="7" fillId="3" borderId="3" xfId="1" applyFont="1" applyFill="1" applyBorder="1" applyAlignment="1">
      <alignment horizontal="right"/>
    </xf>
    <xf numFmtId="164" fontId="7" fillId="3" borderId="13" xfId="1" applyFont="1" applyFill="1" applyBorder="1" applyAlignment="1">
      <alignment horizontal="right"/>
    </xf>
    <xf numFmtId="164" fontId="8" fillId="0" borderId="0" xfId="1" applyFont="1"/>
    <xf numFmtId="164" fontId="8" fillId="0" borderId="11" xfId="1" applyFont="1" applyBorder="1"/>
    <xf numFmtId="164" fontId="8" fillId="0" borderId="10" xfId="1" applyFont="1" applyBorder="1" applyAlignment="1">
      <alignment horizontal="center"/>
    </xf>
    <xf numFmtId="164" fontId="6" fillId="0" borderId="10" xfId="1" applyFont="1" applyBorder="1"/>
    <xf numFmtId="164" fontId="7" fillId="3" borderId="3" xfId="1" applyFont="1" applyFill="1" applyBorder="1"/>
    <xf numFmtId="164" fontId="7" fillId="3" borderId="13" xfId="1" applyFont="1" applyFill="1" applyBorder="1"/>
    <xf numFmtId="164" fontId="10" fillId="0" borderId="1" xfId="1" applyFont="1" applyBorder="1" applyAlignment="1">
      <alignment horizontal="center"/>
    </xf>
    <xf numFmtId="164" fontId="3" fillId="0" borderId="0" xfId="1" applyFont="1"/>
    <xf numFmtId="164" fontId="5" fillId="0" borderId="0" xfId="1" applyFont="1"/>
    <xf numFmtId="164" fontId="11" fillId="0" borderId="0" xfId="1" applyFont="1"/>
    <xf numFmtId="164" fontId="11" fillId="0" borderId="10" xfId="1" applyFont="1" applyBorder="1" applyAlignment="1">
      <alignment horizontal="center"/>
    </xf>
    <xf numFmtId="164" fontId="4" fillId="0" borderId="0" xfId="1" applyFont="1" applyAlignment="1">
      <alignment horizontal="left"/>
    </xf>
    <xf numFmtId="164" fontId="15" fillId="0" borderId="0" xfId="1" applyFont="1"/>
    <xf numFmtId="164" fontId="5" fillId="3" borderId="54" xfId="1" applyFont="1" applyFill="1" applyBorder="1"/>
    <xf numFmtId="164" fontId="4" fillId="0" borderId="41" xfId="2" applyNumberFormat="1" applyFont="1" applyFill="1" applyBorder="1"/>
    <xf numFmtId="164" fontId="4" fillId="0" borderId="19" xfId="2" applyNumberFormat="1" applyFont="1" applyFill="1" applyBorder="1" applyAlignment="1">
      <alignment horizontal="center"/>
    </xf>
    <xf numFmtId="164" fontId="4" fillId="0" borderId="19" xfId="2" applyNumberFormat="1" applyFont="1" applyFill="1" applyBorder="1" applyAlignment="1">
      <alignment horizontal="right"/>
    </xf>
    <xf numFmtId="164" fontId="4" fillId="0" borderId="36" xfId="2" applyNumberFormat="1" applyFont="1" applyFill="1" applyBorder="1" applyAlignment="1">
      <alignment horizontal="right"/>
    </xf>
    <xf numFmtId="0" fontId="4" fillId="6" borderId="0" xfId="0" applyFont="1" applyFill="1"/>
    <xf numFmtId="0" fontId="5" fillId="6" borderId="55" xfId="0" applyFont="1" applyFill="1" applyBorder="1" applyAlignment="1">
      <alignment horizontal="right" vertical="center" wrapText="1"/>
    </xf>
    <xf numFmtId="0" fontId="4" fillId="6" borderId="55" xfId="0" applyFont="1" applyFill="1" applyBorder="1" applyAlignment="1">
      <alignment vertical="center" wrapText="1"/>
    </xf>
    <xf numFmtId="0" fontId="4" fillId="6" borderId="55" xfId="0" applyFont="1" applyFill="1" applyBorder="1" applyAlignment="1">
      <alignment horizontal="right" vertical="center" wrapText="1"/>
    </xf>
    <xf numFmtId="0" fontId="16" fillId="6" borderId="0" xfId="3" applyFill="1"/>
    <xf numFmtId="164" fontId="4" fillId="0" borderId="20" xfId="1" applyFont="1" applyFill="1" applyBorder="1" applyAlignment="1">
      <alignment horizontal="right" vertical="center"/>
    </xf>
    <xf numFmtId="164" fontId="4" fillId="0" borderId="48" xfId="1" applyFont="1" applyFill="1" applyBorder="1" applyAlignment="1">
      <alignment horizontal="right" vertical="center"/>
    </xf>
    <xf numFmtId="164" fontId="4" fillId="0" borderId="19" xfId="1" applyFont="1" applyFill="1" applyBorder="1" applyAlignment="1">
      <alignment horizontal="right"/>
    </xf>
    <xf numFmtId="164" fontId="4" fillId="0" borderId="36" xfId="1" applyFont="1" applyFill="1" applyBorder="1" applyAlignment="1">
      <alignment horizontal="right"/>
    </xf>
    <xf numFmtId="164" fontId="4" fillId="0" borderId="0" xfId="1" applyFont="1" applyBorder="1" applyAlignment="1">
      <alignment horizontal="left" vertical="center"/>
    </xf>
    <xf numFmtId="0" fontId="0" fillId="0" borderId="0" xfId="0" applyAlignment="1">
      <alignment horizontal="center"/>
    </xf>
    <xf numFmtId="0" fontId="0" fillId="7" borderId="0" xfId="0" applyFill="1"/>
    <xf numFmtId="0" fontId="0" fillId="8" borderId="0" xfId="0" applyFill="1"/>
    <xf numFmtId="0" fontId="17" fillId="0" borderId="0" xfId="0" applyFont="1"/>
    <xf numFmtId="0" fontId="17" fillId="9" borderId="0" xfId="0" applyFont="1" applyFill="1"/>
    <xf numFmtId="0" fontId="0" fillId="9" borderId="0" xfId="0" applyFill="1"/>
    <xf numFmtId="164" fontId="11" fillId="0" borderId="45" xfId="1" applyFont="1" applyBorder="1" applyAlignment="1">
      <alignment horizontal="left" vertical="center"/>
    </xf>
    <xf numFmtId="164" fontId="11" fillId="0" borderId="18" xfId="1" applyFont="1" applyBorder="1" applyAlignment="1">
      <alignment horizontal="left" vertical="center"/>
    </xf>
    <xf numFmtId="164" fontId="11" fillId="0" borderId="46" xfId="1" applyFont="1" applyBorder="1" applyAlignment="1">
      <alignment horizontal="left" vertical="center"/>
    </xf>
    <xf numFmtId="164" fontId="11" fillId="0" borderId="49" xfId="1" applyFont="1" applyBorder="1" applyAlignment="1">
      <alignment horizontal="left" vertical="center"/>
    </xf>
    <xf numFmtId="164" fontId="11" fillId="0" borderId="21" xfId="1" applyFont="1" applyBorder="1" applyAlignment="1">
      <alignment horizontal="left" vertical="center"/>
    </xf>
    <xf numFmtId="164" fontId="11" fillId="0" borderId="50" xfId="1" applyFont="1" applyBorder="1" applyAlignment="1">
      <alignment horizontal="left" vertical="center"/>
    </xf>
    <xf numFmtId="164" fontId="3" fillId="3" borderId="1" xfId="1" applyFont="1" applyFill="1" applyBorder="1" applyAlignment="1">
      <alignment horizontal="center" vertical="center"/>
    </xf>
    <xf numFmtId="164" fontId="3" fillId="3" borderId="1" xfId="1" applyFont="1" applyFill="1" applyBorder="1" applyAlignment="1">
      <alignment horizontal="center" vertical="center" wrapText="1"/>
    </xf>
    <xf numFmtId="0" fontId="5" fillId="6" borderId="57" xfId="0" applyFont="1" applyFill="1" applyBorder="1" applyAlignment="1">
      <alignment vertical="center" wrapText="1"/>
    </xf>
    <xf numFmtId="0" fontId="5" fillId="6" borderId="58" xfId="0" applyFont="1" applyFill="1" applyBorder="1" applyAlignment="1">
      <alignment vertical="center" wrapText="1"/>
    </xf>
    <xf numFmtId="0" fontId="4" fillId="6" borderId="56" xfId="0" applyFont="1" applyFill="1" applyBorder="1" applyAlignment="1">
      <alignment vertical="center" wrapText="1"/>
    </xf>
    <xf numFmtId="0" fontId="5" fillId="6" borderId="59" xfId="0" applyFont="1" applyFill="1" applyBorder="1" applyAlignment="1">
      <alignment vertical="center" wrapText="1"/>
    </xf>
    <xf numFmtId="0" fontId="5" fillId="6" borderId="60" xfId="0" applyFont="1" applyFill="1" applyBorder="1" applyAlignment="1">
      <alignment vertical="center" wrapText="1"/>
    </xf>
    <xf numFmtId="164" fontId="14" fillId="3" borderId="3" xfId="1" applyFont="1" applyFill="1" applyBorder="1" applyAlignment="1">
      <alignment horizontal="left" vertical="center"/>
    </xf>
    <xf numFmtId="164" fontId="3" fillId="3" borderId="1" xfId="1" applyFont="1" applyFill="1" applyBorder="1" applyAlignment="1">
      <alignment horizontal="left" vertical="center" wrapText="1"/>
    </xf>
    <xf numFmtId="164" fontId="12" fillId="0" borderId="8" xfId="1" applyFont="1" applyBorder="1" applyAlignment="1">
      <alignment horizontal="left" vertical="center"/>
    </xf>
    <xf numFmtId="164" fontId="12" fillId="0" borderId="2" xfId="1" applyFont="1" applyBorder="1" applyAlignment="1">
      <alignment horizontal="left" vertical="center"/>
    </xf>
    <xf numFmtId="164" fontId="12" fillId="0" borderId="9" xfId="1" applyFont="1" applyBorder="1" applyAlignment="1">
      <alignment horizontal="left" vertical="center"/>
    </xf>
    <xf numFmtId="164" fontId="7" fillId="3" borderId="12" xfId="1" applyFont="1" applyFill="1" applyBorder="1" applyAlignment="1">
      <alignment horizontal="left"/>
    </xf>
    <xf numFmtId="164" fontId="7" fillId="3" borderId="3" xfId="1" applyFont="1" applyFill="1" applyBorder="1" applyAlignment="1">
      <alignment horizontal="left"/>
    </xf>
    <xf numFmtId="164" fontId="11" fillId="0" borderId="14" xfId="1" applyFont="1" applyBorder="1" applyAlignment="1">
      <alignment horizontal="left" vertical="center"/>
    </xf>
    <xf numFmtId="164" fontId="11" fillId="0" borderId="4" xfId="1" applyFont="1" applyBorder="1" applyAlignment="1">
      <alignment horizontal="left" vertical="center"/>
    </xf>
    <xf numFmtId="164" fontId="11" fillId="0" borderId="15" xfId="1" applyFont="1" applyBorder="1" applyAlignment="1">
      <alignment horizontal="left" vertical="center"/>
    </xf>
    <xf numFmtId="164" fontId="3" fillId="3" borderId="1" xfId="1" applyFont="1" applyFill="1" applyBorder="1" applyAlignment="1">
      <alignment horizontal="left" vertical="center"/>
    </xf>
    <xf numFmtId="0" fontId="3" fillId="3" borderId="1" xfId="0" applyFont="1" applyFill="1" applyBorder="1" applyAlignment="1">
      <alignment horizontal="left" vertical="center"/>
    </xf>
    <xf numFmtId="0" fontId="14" fillId="3" borderId="3" xfId="0" applyFont="1" applyFill="1" applyBorder="1" applyAlignment="1">
      <alignment horizontal="left" vertical="center"/>
    </xf>
    <xf numFmtId="0" fontId="3" fillId="3" borderId="1" xfId="0" applyFont="1" applyFill="1" applyBorder="1" applyAlignment="1">
      <alignment horizontal="left" vertical="center" wrapText="1"/>
    </xf>
    <xf numFmtId="0" fontId="12" fillId="0" borderId="8" xfId="0" applyFont="1" applyBorder="1" applyAlignment="1">
      <alignment horizontal="left" vertical="center"/>
    </xf>
    <xf numFmtId="0" fontId="12" fillId="0" borderId="2" xfId="0" applyFont="1" applyBorder="1" applyAlignment="1">
      <alignment horizontal="left" vertical="center"/>
    </xf>
    <xf numFmtId="0" fontId="12" fillId="0" borderId="9" xfId="0" applyFont="1" applyBorder="1" applyAlignment="1">
      <alignment horizontal="left" vertical="center"/>
    </xf>
    <xf numFmtId="0" fontId="11" fillId="0" borderId="14" xfId="0" applyFont="1" applyBorder="1" applyAlignment="1">
      <alignment horizontal="left" vertical="center"/>
    </xf>
    <xf numFmtId="0" fontId="11" fillId="0" borderId="4" xfId="0" applyFont="1" applyBorder="1" applyAlignment="1">
      <alignment horizontal="left" vertical="center"/>
    </xf>
    <xf numFmtId="0" fontId="11" fillId="0" borderId="15" xfId="0" applyFont="1" applyBorder="1" applyAlignment="1">
      <alignment horizontal="left" vertical="center"/>
    </xf>
    <xf numFmtId="0" fontId="7" fillId="3" borderId="12" xfId="0" applyFont="1" applyFill="1" applyBorder="1" applyAlignment="1">
      <alignment horizontal="left"/>
    </xf>
    <xf numFmtId="0" fontId="7" fillId="3" borderId="3" xfId="0" applyFont="1" applyFill="1" applyBorder="1" applyAlignment="1">
      <alignment horizontal="left"/>
    </xf>
    <xf numFmtId="164" fontId="4" fillId="0" borderId="0" xfId="1" applyFont="1" applyBorder="1" applyAlignment="1">
      <alignment horizontal="right" vertical="center"/>
    </xf>
    <xf numFmtId="164" fontId="4" fillId="0" borderId="22" xfId="1" applyFont="1" applyBorder="1" applyAlignment="1">
      <alignment horizontal="right" vertical="center"/>
    </xf>
    <xf numFmtId="164" fontId="4" fillId="7" borderId="0" xfId="1" applyFont="1" applyFill="1" applyBorder="1" applyAlignment="1">
      <alignment horizontal="left"/>
    </xf>
    <xf numFmtId="164" fontId="18" fillId="8" borderId="0" xfId="1" applyFont="1" applyFill="1" applyBorder="1" applyAlignment="1">
      <alignment horizontal="left" vertical="center"/>
    </xf>
    <xf numFmtId="0" fontId="0" fillId="0" borderId="0" xfId="0" applyAlignment="1">
      <alignment horizontal="left"/>
    </xf>
    <xf numFmtId="164" fontId="18" fillId="8" borderId="0" xfId="1" applyFont="1" applyFill="1" applyBorder="1" applyAlignment="1">
      <alignment horizontal="left"/>
    </xf>
    <xf numFmtId="164" fontId="18" fillId="7" borderId="0" xfId="1" applyFont="1" applyFill="1" applyBorder="1" applyAlignment="1">
      <alignment horizontal="left"/>
    </xf>
    <xf numFmtId="164" fontId="4" fillId="7" borderId="0" xfId="2" applyNumberFormat="1" applyFont="1" applyFill="1" applyBorder="1" applyAlignment="1">
      <alignment horizontal="left"/>
    </xf>
    <xf numFmtId="164" fontId="4" fillId="9" borderId="0" xfId="1" applyFont="1" applyFill="1" applyBorder="1" applyAlignment="1">
      <alignment horizontal="left"/>
    </xf>
    <xf numFmtId="164" fontId="4" fillId="9" borderId="0" xfId="1" applyFont="1" applyFill="1" applyBorder="1" applyAlignment="1">
      <alignment horizontal="left" vertical="center"/>
    </xf>
  </cellXfs>
  <cellStyles count="4">
    <cellStyle name="Bad" xfId="2" builtinId="27"/>
    <cellStyle name="Comma" xfId="1" builtinId="3"/>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76200</xdr:colOff>
      <xdr:row>1</xdr:row>
      <xdr:rowOff>76200</xdr:rowOff>
    </xdr:to>
    <xdr:pic>
      <xdr:nvPicPr>
        <xdr:cNvPr id="2" name="Picture 1">
          <a:extLst>
            <a:ext uri="{FF2B5EF4-FFF2-40B4-BE49-F238E27FC236}">
              <a16:creationId xmlns:a16="http://schemas.microsoft.com/office/drawing/2014/main" id="{4FD5B4D9-B963-E9DA-8ED5-5497F644B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8120"/>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moneycontrol.com/financials/steelauthorityindia/ratiosVI/s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DA6F7-00D9-584A-AF8F-F93CE3A75B7A}">
  <dimension ref="A1:T30"/>
  <sheetViews>
    <sheetView showGridLines="0" tabSelected="1" topLeftCell="A9" zoomScale="85" zoomScaleNormal="85" workbookViewId="0">
      <pane xSplit="1" topLeftCell="B1" activePane="topRight" state="frozen"/>
      <selection pane="topRight" activeCell="K30" sqref="K30"/>
    </sheetView>
  </sheetViews>
  <sheetFormatPr defaultColWidth="10.796875" defaultRowHeight="15.6" x14ac:dyDescent="0.3"/>
  <cols>
    <col min="1" max="1" width="36" style="35" customWidth="1"/>
    <col min="2" max="2" width="43.296875" style="36" customWidth="1"/>
    <col min="3" max="5" width="12.19921875" style="37" bestFit="1" customWidth="1"/>
    <col min="6" max="6" width="10.796875" style="35"/>
    <col min="7" max="7" width="36" style="35" hidden="1" customWidth="1"/>
    <col min="8" max="8" width="50.69921875" style="35" hidden="1" customWidth="1"/>
    <col min="9" max="9" width="9.69921875" style="35" bestFit="1" customWidth="1"/>
    <col min="10" max="12" width="10.796875" style="35"/>
    <col min="13" max="13" width="36.5" style="35" hidden="1" customWidth="1"/>
    <col min="14" max="17" width="10.796875" style="35"/>
    <col min="18" max="18" width="13.5" style="35" bestFit="1" customWidth="1"/>
    <col min="19" max="16384" width="10.796875" style="35"/>
  </cols>
  <sheetData>
    <row r="1" spans="1:19" ht="67.95" customHeight="1" thickBot="1" x14ac:dyDescent="0.35">
      <c r="A1" s="199" t="s">
        <v>250</v>
      </c>
      <c r="B1" s="199"/>
      <c r="C1" s="199"/>
      <c r="D1" s="199"/>
      <c r="E1" s="199"/>
      <c r="G1" s="198" t="s">
        <v>251</v>
      </c>
      <c r="H1" s="198"/>
      <c r="I1" s="198"/>
      <c r="J1" s="198"/>
      <c r="K1" s="198"/>
      <c r="M1" s="198" t="s">
        <v>309</v>
      </c>
      <c r="N1" s="198"/>
      <c r="O1" s="198"/>
      <c r="P1" s="198"/>
    </row>
    <row r="2" spans="1:19" ht="16.8" thickTop="1" thickBot="1" x14ac:dyDescent="0.35"/>
    <row r="3" spans="1:19" ht="25.05" customHeight="1" thickTop="1" thickBot="1" x14ac:dyDescent="0.35">
      <c r="A3" s="110" t="s">
        <v>1</v>
      </c>
      <c r="B3" s="111" t="s">
        <v>2</v>
      </c>
      <c r="C3" s="112" t="s">
        <v>3</v>
      </c>
      <c r="D3" s="112" t="s">
        <v>4</v>
      </c>
      <c r="E3" s="113" t="s">
        <v>5</v>
      </c>
      <c r="G3" s="110" t="s">
        <v>1</v>
      </c>
      <c r="H3" s="111" t="s">
        <v>2</v>
      </c>
      <c r="I3" s="112" t="s">
        <v>3</v>
      </c>
      <c r="J3" s="112" t="s">
        <v>4</v>
      </c>
      <c r="K3" s="113" t="s">
        <v>5</v>
      </c>
      <c r="M3" s="110" t="s">
        <v>1</v>
      </c>
      <c r="N3" s="112" t="s">
        <v>3</v>
      </c>
      <c r="O3" s="112" t="s">
        <v>4</v>
      </c>
      <c r="P3" s="113" t="s">
        <v>5</v>
      </c>
      <c r="R3" s="35" t="s">
        <v>312</v>
      </c>
    </row>
    <row r="4" spans="1:19" ht="30" customHeight="1" thickTop="1" thickBot="1" x14ac:dyDescent="0.35">
      <c r="A4" s="192" t="s">
        <v>6</v>
      </c>
      <c r="B4" s="193"/>
      <c r="C4" s="193"/>
      <c r="D4" s="193"/>
      <c r="E4" s="194"/>
      <c r="G4" s="192" t="s">
        <v>6</v>
      </c>
      <c r="H4" s="193"/>
      <c r="I4" s="193"/>
      <c r="J4" s="193"/>
      <c r="K4" s="194"/>
      <c r="M4" s="192" t="s">
        <v>6</v>
      </c>
      <c r="N4" s="193"/>
      <c r="O4" s="193"/>
      <c r="P4" s="194"/>
    </row>
    <row r="5" spans="1:19" x14ac:dyDescent="0.3">
      <c r="A5" s="114" t="s">
        <v>281</v>
      </c>
      <c r="B5" s="38" t="s">
        <v>7</v>
      </c>
      <c r="C5" s="39">
        <f>'Balance Sheet (TATA STEEL)'!D31/'Balance Sheet (TATA STEEL)'!D65</f>
        <v>0.78472907250776835</v>
      </c>
      <c r="D5" s="39">
        <f>'Balance Sheet (TATA STEEL)'!E31/'Balance Sheet (TATA STEEL)'!E65</f>
        <v>0.74202776902596734</v>
      </c>
      <c r="E5" s="61">
        <f>'Balance Sheet (TATA STEEL)'!F31/'Balance Sheet (TATA STEEL)'!F65</f>
        <v>0.61859569934944736</v>
      </c>
      <c r="G5" s="114" t="s">
        <v>281</v>
      </c>
      <c r="H5" s="38" t="s">
        <v>7</v>
      </c>
      <c r="I5" s="39">
        <f>'Balance Sheet (JSPL)'!D33/'Balance Sheet (JSPL)'!D67</f>
        <v>0.94216073255983956</v>
      </c>
      <c r="J5" s="39">
        <f>'Balance Sheet (JSPL)'!E33/'Balance Sheet (JSPL)'!E67</f>
        <v>1.0776413746142652</v>
      </c>
      <c r="K5" s="61">
        <f>'Balance Sheet (JSPL)'!F33/'Balance Sheet (JSPL)'!F67</f>
        <v>1.0435224632450888</v>
      </c>
      <c r="M5" s="114" t="s">
        <v>281</v>
      </c>
      <c r="N5" s="39">
        <v>0.54</v>
      </c>
      <c r="O5" s="39">
        <v>0.6</v>
      </c>
      <c r="P5" s="61">
        <v>0.57999999999999996</v>
      </c>
      <c r="R5" s="35" t="s">
        <v>311</v>
      </c>
      <c r="S5" t="s">
        <v>313</v>
      </c>
    </row>
    <row r="6" spans="1:19" ht="31.8" thickBot="1" x14ac:dyDescent="0.35">
      <c r="A6" s="115" t="s">
        <v>82</v>
      </c>
      <c r="B6" s="40" t="s">
        <v>83</v>
      </c>
      <c r="C6" s="41">
        <f>('Balance Sheet (TATA STEEL)'!D31-'Balance Sheet (TATA STEEL)'!D21)/'Balance Sheet (TATA STEEL)'!D65</f>
        <v>0.29198135593449509</v>
      </c>
      <c r="D6" s="41">
        <f>('Balance Sheet (TATA STEEL)'!E31-'Balance Sheet (TATA STEEL)'!E21)/'Balance Sheet (TATA STEEL)'!E65</f>
        <v>0.24786890082341823</v>
      </c>
      <c r="E6" s="116">
        <f>('Balance Sheet (TATA STEEL)'!F31-'Balance Sheet (TATA STEEL)'!F21)/'Balance Sheet (TATA STEEL)'!F65</f>
        <v>0.19765919300947887</v>
      </c>
      <c r="G6" s="115" t="s">
        <v>82</v>
      </c>
      <c r="H6" s="80" t="s">
        <v>83</v>
      </c>
      <c r="I6" s="41">
        <f>('Balance Sheet (JSPL)'!D33-'Balance Sheet (JSPL)'!D21)/'Balance Sheet (JSPL)'!D67</f>
        <v>0.56002411834778132</v>
      </c>
      <c r="J6" s="41">
        <f>('Balance Sheet (JSPL)'!E33-'Balance Sheet (JSPL)'!E21)/'Balance Sheet (JSPL)'!E67</f>
        <v>0.64559104061807182</v>
      </c>
      <c r="K6" s="116">
        <f>('Balance Sheet (JSPL)'!F33-'Balance Sheet (JSPL)'!F21)/'Balance Sheet (JSPL)'!F67</f>
        <v>0.66793656264798207</v>
      </c>
      <c r="M6" s="115" t="s">
        <v>82</v>
      </c>
      <c r="N6" s="41">
        <v>0.31</v>
      </c>
      <c r="O6" s="41">
        <v>0.38</v>
      </c>
      <c r="P6" s="116">
        <v>0.36</v>
      </c>
      <c r="R6" s="35" t="s">
        <v>311</v>
      </c>
      <c r="S6" t="s">
        <v>314</v>
      </c>
    </row>
    <row r="7" spans="1:19" ht="16.2" hidden="1" thickBot="1" x14ac:dyDescent="0.35">
      <c r="A7" s="117" t="s">
        <v>84</v>
      </c>
      <c r="B7" s="42" t="s">
        <v>85</v>
      </c>
      <c r="C7" s="43">
        <f>'Balance Sheet (TATA STEEL)'!D25/'Balance Sheet (TATA STEEL)'!D65</f>
        <v>2.3397023524505636E-2</v>
      </c>
      <c r="D7" s="43">
        <f>'Balance Sheet (TATA STEEL)'!E25/'Balance Sheet (TATA STEEL)'!E65</f>
        <v>9.1328813390830724E-2</v>
      </c>
      <c r="E7" s="118">
        <f>'Balance Sheet (TATA STEEL)'!F25/'Balance Sheet (TATA STEEL)'!F65</f>
        <v>5.7117533348065776E-2</v>
      </c>
      <c r="G7" s="117" t="s">
        <v>84</v>
      </c>
      <c r="H7" s="42" t="s">
        <v>85</v>
      </c>
      <c r="I7" s="43">
        <f>'Balance Sheet (JSPL)'!D26/'Balance Sheet (JSPL)'!D67</f>
        <v>0.25363856193651868</v>
      </c>
      <c r="J7" s="43">
        <f>'Balance Sheet (JSPL)'!E26/'Balance Sheet (JSPL)'!E67</f>
        <v>0.21038254328649938</v>
      </c>
      <c r="K7" s="118">
        <f>'Balance Sheet (JSPL)'!F26/'Balance Sheet (JSPL)'!F67</f>
        <v>0.16388377882464922</v>
      </c>
      <c r="M7" s="117" t="s">
        <v>84</v>
      </c>
      <c r="N7" s="43"/>
      <c r="O7" s="43"/>
      <c r="P7" s="118"/>
    </row>
    <row r="8" spans="1:19" ht="30" customHeight="1" thickBot="1" x14ac:dyDescent="0.35">
      <c r="A8" s="195" t="s">
        <v>86</v>
      </c>
      <c r="B8" s="196"/>
      <c r="C8" s="196"/>
      <c r="D8" s="196"/>
      <c r="E8" s="197"/>
      <c r="G8" s="195" t="s">
        <v>86</v>
      </c>
      <c r="H8" s="196"/>
      <c r="I8" s="196"/>
      <c r="J8" s="196"/>
      <c r="K8" s="197"/>
      <c r="M8" s="195" t="s">
        <v>86</v>
      </c>
      <c r="N8" s="196"/>
      <c r="O8" s="196"/>
      <c r="P8" s="197"/>
    </row>
    <row r="9" spans="1:19" x14ac:dyDescent="0.3">
      <c r="A9" s="114" t="s">
        <v>87</v>
      </c>
      <c r="B9" s="38" t="s">
        <v>154</v>
      </c>
      <c r="C9" s="39">
        <f>('P L Statement (TATA STEEL) '!B18/'P L Statement (TATA STEEL) '!B7)*100</f>
        <v>47.048581615765414</v>
      </c>
      <c r="D9" s="39">
        <f>('P L Statement (TATA STEEL) '!C18/'P L Statement (TATA STEEL) '!C7)*100</f>
        <v>51.781528268999409</v>
      </c>
      <c r="E9" s="61">
        <f>('P L Statement (TATA STEEL) '!D18/'P L Statement (TATA STEEL) '!D7)*100</f>
        <v>51.880442806210183</v>
      </c>
      <c r="G9" s="114" t="s">
        <v>87</v>
      </c>
      <c r="H9" s="38" t="s">
        <v>154</v>
      </c>
      <c r="I9" s="39">
        <f>('P L Statement (JSPL)'!B15/'P L Statement (JSPL)'!B4)*100</f>
        <v>32.08465090324205</v>
      </c>
      <c r="J9" s="39">
        <f>('P L Statement (JSPL)'!C15/'P L Statement (JSPL)'!C4)*100</f>
        <v>35.786677992097687</v>
      </c>
      <c r="K9" s="61">
        <f>('P L Statement (JSPL)'!D15/'P L Statement (JSPL)'!D4)*100</f>
        <v>33.855339922565491</v>
      </c>
      <c r="M9" s="114" t="s">
        <v>87</v>
      </c>
      <c r="N9" s="39">
        <v>2.93</v>
      </c>
      <c r="O9" s="39">
        <v>5.55</v>
      </c>
      <c r="P9" s="61">
        <v>4.8499999999999996</v>
      </c>
      <c r="R9" s="35" t="s">
        <v>311</v>
      </c>
    </row>
    <row r="10" spans="1:19" x14ac:dyDescent="0.3">
      <c r="A10" s="114" t="s">
        <v>135</v>
      </c>
      <c r="B10" s="38" t="s">
        <v>155</v>
      </c>
      <c r="C10" s="39">
        <f>('P L Statement (TATA STEEL) '!B67/'P L Statement (TATA STEEL) '!B7)*100</f>
        <v>17.974881557576307</v>
      </c>
      <c r="D10" s="39">
        <f>('P L Statement (TATA STEEL) '!C67/'P L Statement (TATA STEEL) '!C7)*100</f>
        <v>21.889860156606712</v>
      </c>
      <c r="E10" s="61">
        <f>('P L Statement (TATA STEEL) '!D67/'P L Statement (TATA STEEL) '!D7)*100</f>
        <v>20.30884267683777</v>
      </c>
      <c r="G10" s="114" t="s">
        <v>135</v>
      </c>
      <c r="H10" s="38" t="s">
        <v>155</v>
      </c>
      <c r="I10" s="39">
        <f>('P L Statement (JSPL)'!B69/'P L Statement (JSPL)'!B4)*100</f>
        <v>12.43944909816476</v>
      </c>
      <c r="J10" s="39">
        <f>('P L Statement (JSPL)'!C69/'P L Statement (JSPL)'!C4)*100</f>
        <v>14.757224491110401</v>
      </c>
      <c r="K10" s="61">
        <f>('P L Statement (JSPL)'!D69/'P L Statement (JSPL)'!D4)*100</f>
        <v>12.133017247930734</v>
      </c>
      <c r="M10" s="114" t="s">
        <v>135</v>
      </c>
      <c r="N10" s="39">
        <v>7.68</v>
      </c>
      <c r="O10" s="39">
        <v>10.56</v>
      </c>
      <c r="P10" s="61">
        <v>10.37</v>
      </c>
      <c r="R10" s="35" t="s">
        <v>311</v>
      </c>
    </row>
    <row r="11" spans="1:19" x14ac:dyDescent="0.3">
      <c r="A11" s="114" t="s">
        <v>136</v>
      </c>
      <c r="B11" s="38" t="s">
        <v>156</v>
      </c>
      <c r="C11" s="39">
        <f>('P L Statement (TATA STEEL) '!B97/'P L Statement (TATA STEEL) '!B7)*100</f>
        <v>10.8659920572834</v>
      </c>
      <c r="D11" s="39">
        <f>('P L Statement (TATA STEEL) '!C97/'P L Statement (TATA STEEL) '!C7)*100</f>
        <v>13.778609853713805</v>
      </c>
      <c r="E11" s="61">
        <f>('P L Statement (TATA STEEL) '!D97/'P L Statement (TATA STEEL) '!D7)*100</f>
        <v>12.845984799194312</v>
      </c>
      <c r="G11" s="114" t="s">
        <v>136</v>
      </c>
      <c r="H11" s="38" t="s">
        <v>156</v>
      </c>
      <c r="I11" s="39">
        <f>('P L Statement (JSPL)'!B95/'P L Statement (JSPL)'!B4)*100</f>
        <v>2.69096883006045</v>
      </c>
      <c r="J11" s="39">
        <f>('P L Statement (JSPL)'!C95/'P L Statement (JSPL)'!C4)*100</f>
        <v>9.1249695561947295</v>
      </c>
      <c r="K11" s="61">
        <f>('P L Statement (JSPL)'!D95/'P L Statement (JSPL)'!D4)*100</f>
        <v>5.660900286226215</v>
      </c>
      <c r="M11" s="114" t="s">
        <v>136</v>
      </c>
      <c r="N11" s="39">
        <v>1.82</v>
      </c>
      <c r="O11" s="39">
        <v>2.59</v>
      </c>
      <c r="P11" s="61">
        <v>2.09</v>
      </c>
      <c r="R11" s="35" t="s">
        <v>311</v>
      </c>
    </row>
    <row r="12" spans="1:19" x14ac:dyDescent="0.3">
      <c r="A12" s="114" t="s">
        <v>158</v>
      </c>
      <c r="B12" s="38" t="s">
        <v>159</v>
      </c>
      <c r="C12" s="39">
        <f>'P L Statement (TATA STEEL) '!B97/'Balance Sheet (TATA STEEL)'!D33</f>
        <v>6.3533951496792168E-2</v>
      </c>
      <c r="D12" s="39">
        <f>'P L Statement (TATA STEEL) '!C97/'Balance Sheet (TATA STEEL)'!E33</f>
        <v>7.8323905466280569E-2</v>
      </c>
      <c r="E12" s="61">
        <f>'P L Statement (TATA STEEL) '!D97/'Balance Sheet (TATA STEEL)'!F33</f>
        <v>6.6984954398240898E-2</v>
      </c>
      <c r="G12" s="114" t="s">
        <v>158</v>
      </c>
      <c r="H12" s="38" t="s">
        <v>159</v>
      </c>
      <c r="I12" s="39">
        <f>'P L Statement (JSPL)'!B95/'Balance Sheet (JSPL)'!D35</f>
        <v>2.0546734332264741E-2</v>
      </c>
      <c r="J12" s="39">
        <f>'P L Statement (JSPL)'!C95/'Balance Sheet (JSPL)'!E35</f>
        <v>6.2949607571659807E-2</v>
      </c>
      <c r="K12" s="61">
        <f>'P L Statement (JSPL)'!D95/'Balance Sheet (JSPL)'!F35</f>
        <v>3.7604821838594024E-2</v>
      </c>
      <c r="M12" s="114" t="s">
        <v>158</v>
      </c>
      <c r="N12" s="183">
        <f>1.49/100</f>
        <v>1.49E-2</v>
      </c>
      <c r="O12" s="183">
        <f>1.98/100</f>
        <v>1.9799999999999998E-2</v>
      </c>
      <c r="P12" s="184">
        <f>1.61/100</f>
        <v>1.61E-2</v>
      </c>
      <c r="R12" s="35" t="s">
        <v>311</v>
      </c>
      <c r="S12" t="s">
        <v>320</v>
      </c>
    </row>
    <row r="13" spans="1:19" x14ac:dyDescent="0.3">
      <c r="A13" s="114" t="s">
        <v>160</v>
      </c>
      <c r="B13" s="38" t="s">
        <v>161</v>
      </c>
      <c r="C13" s="39">
        <f>'P L Statement (TATA STEEL) '!B97/'Balance Sheet (TATA STEEL)'!D38</f>
        <v>0.11171106816454512</v>
      </c>
      <c r="D13" s="39">
        <f>'P L Statement (TATA STEEL) '!C97/'Balance Sheet (TATA STEEL)'!E38</f>
        <v>0.13749651542273711</v>
      </c>
      <c r="E13" s="61">
        <f>'P L Statement (TATA STEEL) '!D97/'Balance Sheet (TATA STEEL)'!F38</f>
        <v>0.13432343890577236</v>
      </c>
      <c r="G13" s="114" t="s">
        <v>160</v>
      </c>
      <c r="H13" s="38" t="s">
        <v>161</v>
      </c>
      <c r="I13" s="39">
        <f>'P L Statement (JSPL)'!B95/'Balance Sheet (JSPL)'!D40</f>
        <v>3.395825859256827E-2</v>
      </c>
      <c r="J13" s="39">
        <f>'P L Statement (JSPL)'!C95/'Balance Sheet (JSPL)'!E40</f>
        <v>9.9650060667874102E-2</v>
      </c>
      <c r="K13" s="61">
        <f>'P L Statement (JSPL)'!D95/'Balance Sheet (JSPL)'!F40</f>
        <v>5.5534176384923126E-2</v>
      </c>
      <c r="M13" s="114" t="s">
        <v>160</v>
      </c>
      <c r="N13" s="39">
        <f>3.64/100</f>
        <v>3.6400000000000002E-2</v>
      </c>
      <c r="O13" s="39">
        <f>5.04/100</f>
        <v>5.04E-2</v>
      </c>
      <c r="P13" s="61">
        <f>3.85/100</f>
        <v>3.85E-2</v>
      </c>
      <c r="R13" s="35" t="s">
        <v>311</v>
      </c>
      <c r="S13" t="s">
        <v>321</v>
      </c>
    </row>
    <row r="14" spans="1:19" ht="61.05" customHeight="1" thickBot="1" x14ac:dyDescent="0.35">
      <c r="A14" s="119" t="s">
        <v>162</v>
      </c>
      <c r="B14" s="62" t="s">
        <v>163</v>
      </c>
      <c r="C14" s="63">
        <f>'P L Statement (TATA STEEL) '!B67/('Balance Sheet (TATA STEEL)'!D33-'Balance Sheet (TATA STEEL)'!D65)</f>
        <v>0.13334441400662167</v>
      </c>
      <c r="D14" s="63">
        <f>'P L Statement (TATA STEEL) '!C67/('Balance Sheet (TATA STEEL)'!E33-'Balance Sheet (TATA STEEL)'!E65)</f>
        <v>0.15578277258447892</v>
      </c>
      <c r="E14" s="120">
        <f>'P L Statement (TATA STEEL) '!D67/('Balance Sheet (TATA STEEL)'!F33-'Balance Sheet (TATA STEEL)'!F65)</f>
        <v>0.13479901960342366</v>
      </c>
      <c r="G14" s="119" t="s">
        <v>162</v>
      </c>
      <c r="H14" s="62" t="s">
        <v>163</v>
      </c>
      <c r="I14" s="63">
        <f>'P L Statement (JSPL)'!B69/('Balance Sheet (JSPL)'!D35-'Balance Sheet (JSPL)'!D67)</f>
        <v>0.12073017776569191</v>
      </c>
      <c r="J14" s="63">
        <f>'P L Statement (JSPL)'!C69/('Balance Sheet (JSPL)'!E35-'Balance Sheet (JSPL)'!E67)</f>
        <v>0.12601004623688916</v>
      </c>
      <c r="K14" s="120">
        <f>'P L Statement (JSPL)'!D69/('Balance Sheet (JSPL)'!F35-'Balance Sheet (JSPL)'!F67)</f>
        <v>9.7355918385460816E-2</v>
      </c>
      <c r="M14" s="119" t="s">
        <v>162</v>
      </c>
      <c r="N14" s="181">
        <f>5.67/100</f>
        <v>5.67E-2</v>
      </c>
      <c r="O14" s="181">
        <f>8.26/100</f>
        <v>8.2599999999999993E-2</v>
      </c>
      <c r="P14" s="182">
        <f>7.15/100</f>
        <v>7.1500000000000008E-2</v>
      </c>
      <c r="R14" s="35" t="s">
        <v>311</v>
      </c>
      <c r="S14" t="s">
        <v>322</v>
      </c>
    </row>
    <row r="15" spans="1:19" ht="30" customHeight="1" thickBot="1" x14ac:dyDescent="0.35">
      <c r="A15" s="195" t="s">
        <v>164</v>
      </c>
      <c r="B15" s="196"/>
      <c r="C15" s="196"/>
      <c r="D15" s="196"/>
      <c r="E15" s="197"/>
      <c r="G15" s="195" t="s">
        <v>164</v>
      </c>
      <c r="H15" s="196"/>
      <c r="I15" s="196"/>
      <c r="J15" s="196"/>
      <c r="K15" s="197"/>
      <c r="M15" s="195" t="s">
        <v>164</v>
      </c>
      <c r="N15" s="196"/>
      <c r="O15" s="196"/>
      <c r="P15" s="197"/>
    </row>
    <row r="16" spans="1:19" ht="70.05" customHeight="1" x14ac:dyDescent="0.3">
      <c r="A16" s="121" t="s">
        <v>165</v>
      </c>
      <c r="B16" s="80" t="s">
        <v>168</v>
      </c>
      <c r="C16" s="41">
        <f>'P L Statement (TATA STEEL) '!B15/(('Balance Sheet (TATA STEEL)'!C21+'Balance Sheet (TATA STEEL)'!D21)/2)</f>
        <v>3.329763234746046</v>
      </c>
      <c r="D16" s="41">
        <f>'P L Statement (TATA STEEL) '!C15/(('Balance Sheet (TATA STEEL)'!D21+'Balance Sheet (TATA STEEL)'!E21)/2)</f>
        <v>2.7092119610176555</v>
      </c>
      <c r="E16" s="116">
        <f>'P L Statement (TATA STEEL) '!D15/(('Balance Sheet (TATA STEEL)'!E21+'Balance Sheet (TATA STEEL)'!F21)/2)</f>
        <v>2.679845588209028</v>
      </c>
      <c r="G16" s="121" t="s">
        <v>165</v>
      </c>
      <c r="H16" s="80" t="s">
        <v>168</v>
      </c>
      <c r="I16" s="41">
        <f>'P L Statement (JSPL)'!B12/(('Balance Sheet (JSPL)'!C21+'Balance Sheet (JSPL)'!D21)/2)</f>
        <v>5.5554165068405572</v>
      </c>
      <c r="J16" s="41">
        <f>'P L Statement (JSPL)'!C12/(('Balance Sheet (JSPL)'!D21+'Balance Sheet (JSPL)'!E21)/2)</f>
        <v>5.5772858033211339</v>
      </c>
      <c r="K16" s="116">
        <f>'P L Statement (JSPL)'!D12/(('Balance Sheet (JSPL)'!E21+'Balance Sheet (JSPL)'!F21)/2)</f>
        <v>6.0199200401942976</v>
      </c>
      <c r="M16" s="121" t="s">
        <v>165</v>
      </c>
      <c r="N16" s="41">
        <v>3.23</v>
      </c>
      <c r="O16" s="41">
        <v>2.83</v>
      </c>
      <c r="P16" s="116">
        <v>3.04</v>
      </c>
      <c r="R16" s="35" t="s">
        <v>311</v>
      </c>
      <c r="S16" t="s">
        <v>324</v>
      </c>
    </row>
    <row r="17" spans="1:20" ht="93" customHeight="1" x14ac:dyDescent="0.3">
      <c r="A17" s="121" t="s">
        <v>167</v>
      </c>
      <c r="B17" s="80" t="s">
        <v>169</v>
      </c>
      <c r="C17" s="41">
        <f>'P L Statement (TATA STEEL) '!B7/(('Balance Sheet (TATA STEEL)'!C24+'Balance Sheet (TATA STEEL)'!D24)/2)</f>
        <v>48.893856506998112</v>
      </c>
      <c r="D17" s="41">
        <f>'P L Statement (TATA STEEL) '!C7/(('Balance Sheet (TATA STEEL)'!D24+'Balance Sheet (TATA STEEL)'!E24)/2)</f>
        <v>67.731659257479265</v>
      </c>
      <c r="E17" s="116">
        <f>'P L Statement (TATA STEEL) '!D7/(('Balance Sheet (TATA STEEL)'!E24+'Balance Sheet (TATA STEEL)'!F24)/2)</f>
        <v>83.829123953453802</v>
      </c>
      <c r="G17" s="121" t="s">
        <v>167</v>
      </c>
      <c r="H17" s="80" t="s">
        <v>169</v>
      </c>
      <c r="I17" s="41">
        <f>'P L Statement (JSPL)'!B4/(('Balance Sheet (JSPL)'!C25+'Balance Sheet (JSPL)'!D25)/2)</f>
        <v>43.725532578375628</v>
      </c>
      <c r="J17" s="41">
        <f>'P L Statement (JSPL)'!C4/(('Balance Sheet (JSPL)'!D25+'Balance Sheet (JSPL)'!E25)/2)</f>
        <v>29.910896513525064</v>
      </c>
      <c r="K17" s="116">
        <f>'P L Statement (JSPL)'!D4/(('Balance Sheet (JSPL)'!E25+'Balance Sheet (JSPL)'!F25)/2)</f>
        <v>27.772706326766301</v>
      </c>
      <c r="M17" s="121" t="s">
        <v>167</v>
      </c>
      <c r="N17" s="41">
        <v>18</v>
      </c>
      <c r="O17" s="41">
        <v>24</v>
      </c>
      <c r="P17" s="116">
        <v>28</v>
      </c>
      <c r="R17" s="35" t="s">
        <v>311</v>
      </c>
      <c r="S17" t="s">
        <v>325</v>
      </c>
    </row>
    <row r="18" spans="1:20" ht="73.95" customHeight="1" x14ac:dyDescent="0.3">
      <c r="A18" s="121" t="s">
        <v>170</v>
      </c>
      <c r="B18" s="80" t="s">
        <v>252</v>
      </c>
      <c r="C18" s="41">
        <f>'P L Statement (TATA STEEL) '!B15/(('Balance Sheet (TATA STEEL)'!C56+'Balance Sheet (TATA STEEL)'!C57+'Balance Sheet (TATA STEEL)'!D56+'Balance Sheet (TATA STEEL)'!D57)/2)</f>
        <v>3.8191560822408253</v>
      </c>
      <c r="D18" s="41">
        <f>'P L Statement (TATA STEEL) '!C15/(('Balance Sheet (TATA STEEL)'!D56+'Balance Sheet (TATA STEEL)'!D57+'Balance Sheet (TATA STEEL)'!E56+'Balance Sheet (TATA STEEL)'!E57)/2)</f>
        <v>3.5117850912007418</v>
      </c>
      <c r="E18" s="116">
        <f>'P L Statement (TATA STEEL) '!D15/(('Balance Sheet (TATA STEEL)'!E56+'Balance Sheet (TATA STEEL)'!E57+'Balance Sheet (TATA STEEL)'!F56+'Balance Sheet (TATA STEEL)'!F57)/2)</f>
        <v>3.1285114011604644</v>
      </c>
      <c r="G18" s="121" t="s">
        <v>170</v>
      </c>
      <c r="H18" s="80" t="s">
        <v>252</v>
      </c>
      <c r="I18" s="41">
        <f>'P L Statement (JSPL)'!B12/(('Balance Sheet (JSPL)'!C58+'Balance Sheet (JSPL)'!C59+'Balance Sheet (JSPL)'!D58+'Balance Sheet (JSPL)'!D59)/2)</f>
        <v>7.1293613564995519</v>
      </c>
      <c r="J18" s="41">
        <f>'P L Statement (JSPL)'!C12/(('Balance Sheet (JSPL)'!D58+'Balance Sheet (JSPL)'!D59+'Balance Sheet (JSPL)'!E58+'Balance Sheet (JSPL)'!E59)/2)</f>
        <v>7.3085608314213681</v>
      </c>
      <c r="K18" s="116">
        <f>'P L Statement (JSPL)'!D12/(('Balance Sheet (JSPL)'!E58+'Balance Sheet (JSPL)'!E59+'Balance Sheet (JSPL)'!F58+'Balance Sheet (JSPL)'!F59)/2)</f>
        <v>6.9084004497127252</v>
      </c>
      <c r="M18" s="121" t="s">
        <v>170</v>
      </c>
      <c r="N18" s="41">
        <v>20.68</v>
      </c>
      <c r="O18" s="41">
        <v>15.42</v>
      </c>
      <c r="P18" s="116">
        <v>12.92</v>
      </c>
      <c r="R18" s="35" t="s">
        <v>323</v>
      </c>
      <c r="S18" t="s">
        <v>326</v>
      </c>
    </row>
    <row r="19" spans="1:20" ht="16.2" thickBot="1" x14ac:dyDescent="0.35">
      <c r="A19" s="114" t="s">
        <v>178</v>
      </c>
      <c r="B19" s="38" t="s">
        <v>171</v>
      </c>
      <c r="C19" s="39">
        <f>'P L Statement (TATA STEEL) '!B7/'Balance Sheet (TATA STEEL)'!D33</f>
        <v>0.5847045641286458</v>
      </c>
      <c r="D19" s="39">
        <f>'P L Statement (TATA STEEL) '!C7/'Balance Sheet (TATA STEEL)'!E33</f>
        <v>0.56844562911525953</v>
      </c>
      <c r="E19" s="61">
        <f>'P L Statement (TATA STEEL) '!D7/'Balance Sheet (TATA STEEL)'!F33</f>
        <v>0.52144662667234454</v>
      </c>
      <c r="G19" s="114" t="s">
        <v>178</v>
      </c>
      <c r="H19" s="38" t="s">
        <v>171</v>
      </c>
      <c r="I19" s="39">
        <f>'P L Statement (JSPL)'!B4/'Balance Sheet (JSPL)'!D35</f>
        <v>0.76354412220386725</v>
      </c>
      <c r="J19" s="39">
        <f>'P L Statement (JSPL)'!C4/'Balance Sheet (JSPL)'!E35</f>
        <v>0.68986101470250683</v>
      </c>
      <c r="K19" s="61">
        <f>'P L Statement (JSPL)'!D4/'Balance Sheet (JSPL)'!F35</f>
        <v>0.66429048273632318</v>
      </c>
      <c r="M19" s="114" t="s">
        <v>178</v>
      </c>
      <c r="N19" s="39">
        <v>0.84</v>
      </c>
      <c r="O19" s="39">
        <v>0.82</v>
      </c>
      <c r="P19" s="61">
        <v>0.77</v>
      </c>
      <c r="R19" s="35" t="s">
        <v>311</v>
      </c>
      <c r="S19" t="s">
        <v>327</v>
      </c>
    </row>
    <row r="20" spans="1:20" hidden="1" x14ac:dyDescent="0.3">
      <c r="A20" s="122" t="s">
        <v>179</v>
      </c>
      <c r="B20" s="81" t="s">
        <v>172</v>
      </c>
      <c r="C20" s="82">
        <f>'P L Statement (TATA STEEL) '!B7/'Balance Sheet (TATA STEEL)'!D6</f>
        <v>1.5545061411410057</v>
      </c>
      <c r="D20" s="82">
        <f>'P L Statement (TATA STEEL) '!C7/'Balance Sheet (TATA STEEL)'!E6</f>
        <v>1.5259341122420209</v>
      </c>
      <c r="E20" s="123">
        <f>'P L Statement (TATA STEEL) '!D7/'Balance Sheet (TATA STEEL)'!F6</f>
        <v>1.4217941473005991</v>
      </c>
      <c r="G20" s="122" t="s">
        <v>179</v>
      </c>
      <c r="H20" s="81" t="s">
        <v>172</v>
      </c>
      <c r="I20" s="82">
        <f>'P L Statement (JSPL)'!B4/'Balance Sheet (JSPL)'!D6</f>
        <v>1.2953227482160237</v>
      </c>
      <c r="J20" s="82">
        <f>'P L Statement (JSPL)'!C4/'Balance Sheet (JSPL)'!E6</f>
        <v>1.2865157410224703</v>
      </c>
      <c r="K20" s="123">
        <f>'P L Statement (JSPL)'!D4/'Balance Sheet (JSPL)'!F6</f>
        <v>1.2549464029887543</v>
      </c>
      <c r="M20" s="122" t="s">
        <v>179</v>
      </c>
      <c r="N20" s="82">
        <v>1.46</v>
      </c>
      <c r="O20" s="82">
        <v>1.3</v>
      </c>
      <c r="P20" s="123">
        <v>1.2</v>
      </c>
    </row>
    <row r="21" spans="1:20" ht="34.950000000000003" hidden="1" customHeight="1" x14ac:dyDescent="0.3">
      <c r="A21" s="121" t="s">
        <v>173</v>
      </c>
      <c r="B21" s="80" t="s">
        <v>174</v>
      </c>
      <c r="C21" s="41">
        <f>'P L Statement (TATA STEEL) '!B7/('Balance Sheet (TATA STEEL)'!D31-'Balance Sheet (TATA STEEL)'!D65)</f>
        <v>-12.823088380439668</v>
      </c>
      <c r="D21" s="41">
        <f>'P L Statement (TATA STEEL) '!C7/('Balance Sheet (TATA STEEL)'!E31-'Balance Sheet (TATA STEEL)'!E65)</f>
        <v>-10.949303804254079</v>
      </c>
      <c r="E21" s="116">
        <f>'P L Statement (TATA STEEL) '!D7/('Balance Sheet (TATA STEEL)'!F31-'Balance Sheet (TATA STEEL)'!F65)</f>
        <v>-6.3771189825611323</v>
      </c>
      <c r="G21" s="121" t="s">
        <v>173</v>
      </c>
      <c r="H21" s="80" t="s">
        <v>174</v>
      </c>
      <c r="I21" s="41">
        <f>'P L Statement (JSPL)'!B4/('Balance Sheet (JSPL)'!D33-'Balance Sheet (JSPL)'!D67)</f>
        <v>-61.895414086687367</v>
      </c>
      <c r="J21" s="41">
        <f>'P L Statement (JSPL)'!C4/('Balance Sheet (JSPL)'!E33-'Balance Sheet (JSPL)'!E67)</f>
        <v>46.254690016665343</v>
      </c>
      <c r="K21" s="116">
        <f>'P L Statement (JSPL)'!D4/('Balance Sheet (JSPL)'!F33-'Balance Sheet (JSPL)'!F67)</f>
        <v>88.674604472054384</v>
      </c>
      <c r="M21" s="121" t="s">
        <v>173</v>
      </c>
      <c r="N21" s="41"/>
      <c r="O21" s="41"/>
      <c r="P21" s="116"/>
      <c r="R21" s="89"/>
      <c r="S21" s="89"/>
      <c r="T21" s="89"/>
    </row>
    <row r="22" spans="1:20" ht="40.049999999999997" hidden="1" customHeight="1" thickBot="1" x14ac:dyDescent="0.35">
      <c r="A22" s="124" t="s">
        <v>175</v>
      </c>
      <c r="B22" s="62" t="s">
        <v>176</v>
      </c>
      <c r="C22" s="63">
        <f>'P L Statement (TATA STEEL) '!B7/('Balance Sheet (TATA STEEL)'!D33-'Balance Sheet (TATA STEEL)'!D65)</f>
        <v>0.74183751130431119</v>
      </c>
      <c r="D22" s="63">
        <f>'P L Statement (TATA STEEL) '!C7/('Balance Sheet (TATA STEEL)'!E33-'Balance Sheet (TATA STEEL)'!E65)</f>
        <v>0.71166636730413813</v>
      </c>
      <c r="E22" s="120">
        <f>'P L Statement (TATA STEEL) '!D7/('Balance Sheet (TATA STEEL)'!F33-'Balance Sheet (TATA STEEL)'!F65)</f>
        <v>0.66374545191175227</v>
      </c>
      <c r="G22" s="124" t="s">
        <v>175</v>
      </c>
      <c r="H22" s="62" t="s">
        <v>176</v>
      </c>
      <c r="I22" s="63">
        <f>'P L Statement (JSPL)'!B4/('Balance Sheet (JSPL)'!D35-'Balance Sheet (JSPL)'!D67)</f>
        <v>0.97054280147746819</v>
      </c>
      <c r="J22" s="63">
        <f>'P L Statement (JSPL)'!C4/('Balance Sheet (JSPL)'!E35-'Balance Sheet (JSPL)'!E67)</f>
        <v>0.85388716769062023</v>
      </c>
      <c r="K22" s="120">
        <f>'P L Statement (JSPL)'!D4/('Balance Sheet (JSPL)'!F35-'Balance Sheet (JSPL)'!F67)</f>
        <v>0.80240484618172525</v>
      </c>
      <c r="M22" s="124" t="s">
        <v>175</v>
      </c>
      <c r="N22" s="63"/>
      <c r="O22" s="63"/>
      <c r="P22" s="120"/>
    </row>
    <row r="23" spans="1:20" ht="30" customHeight="1" thickBot="1" x14ac:dyDescent="0.35">
      <c r="A23" s="195" t="s">
        <v>177</v>
      </c>
      <c r="B23" s="196"/>
      <c r="C23" s="196"/>
      <c r="D23" s="196"/>
      <c r="E23" s="197"/>
      <c r="G23" s="195" t="s">
        <v>177</v>
      </c>
      <c r="H23" s="196"/>
      <c r="I23" s="196"/>
      <c r="J23" s="196"/>
      <c r="K23" s="197"/>
      <c r="M23" s="195" t="s">
        <v>177</v>
      </c>
      <c r="N23" s="196"/>
      <c r="O23" s="196"/>
      <c r="P23" s="197"/>
    </row>
    <row r="24" spans="1:20" hidden="1" x14ac:dyDescent="0.3">
      <c r="A24" s="114" t="s">
        <v>180</v>
      </c>
      <c r="B24" s="38" t="s">
        <v>181</v>
      </c>
      <c r="C24" s="39">
        <f>'Balance Sheet (TATA STEEL)'!D66/'Balance Sheet (TATA STEEL)'!D33</f>
        <v>0.43126538363047728</v>
      </c>
      <c r="D24" s="39">
        <f>'Balance Sheet (TATA STEEL)'!E66/'Balance Sheet (TATA STEEL)'!E33</f>
        <v>0.43035716050351253</v>
      </c>
      <c r="E24" s="61">
        <f>'Balance Sheet (TATA STEEL)'!F66/'Balance Sheet (TATA STEEL)'!F33</f>
        <v>0.50131596582164106</v>
      </c>
      <c r="G24" s="114" t="s">
        <v>180</v>
      </c>
      <c r="H24" s="38" t="s">
        <v>181</v>
      </c>
      <c r="I24" s="39">
        <f>'Balance Sheet (JSPL)'!D68/'Balance Sheet (JSPL)'!D35</f>
        <v>0.39494146096286081</v>
      </c>
      <c r="J24" s="39">
        <f>'Balance Sheet (JSPL)'!E68/'Balance Sheet (JSPL)'!E35</f>
        <v>0.368293334196093</v>
      </c>
      <c r="K24" s="61">
        <f>'Balance Sheet (JSPL)'!F68/'Balance Sheet (JSPL)'!F35</f>
        <v>0.322852623617854</v>
      </c>
      <c r="M24" s="114" t="s">
        <v>180</v>
      </c>
      <c r="N24" s="39"/>
      <c r="O24" s="39"/>
      <c r="P24" s="61"/>
    </row>
    <row r="25" spans="1:20" x14ac:dyDescent="0.3">
      <c r="A25" s="114" t="s">
        <v>182</v>
      </c>
      <c r="B25" s="38" t="s">
        <v>183</v>
      </c>
      <c r="C25" s="39">
        <f>'Balance Sheet (TATA STEEL)'!D66/'Balance Sheet (TATA STEEL)'!D38</f>
        <v>0.75828931669999167</v>
      </c>
      <c r="D25" s="39">
        <f>'Balance Sheet (TATA STEEL)'!E66/'Balance Sheet (TATA STEEL)'!E38</f>
        <v>0.75548594779828881</v>
      </c>
      <c r="E25" s="61">
        <f>'Balance Sheet (TATA STEEL)'!F66/'Balance Sheet (TATA STEEL)'!F38</f>
        <v>1.0052777539742546</v>
      </c>
      <c r="G25" s="114" t="s">
        <v>182</v>
      </c>
      <c r="H25" s="38" t="s">
        <v>183</v>
      </c>
      <c r="I25" s="39">
        <f>'Balance Sheet (JSPL)'!D68/'Balance Sheet (JSPL)'!D40</f>
        <v>0.65273264565665234</v>
      </c>
      <c r="J25" s="39">
        <f>'Balance Sheet (JSPL)'!E68/'Balance Sheet (JSPL)'!E40</f>
        <v>0.58301321504563286</v>
      </c>
      <c r="K25" s="61">
        <f>'Balance Sheet (JSPL)'!F68/'Balance Sheet (JSPL)'!F40</f>
        <v>0.47678339291925886</v>
      </c>
      <c r="M25" s="114" t="s">
        <v>182</v>
      </c>
      <c r="N25" s="39">
        <v>0.49</v>
      </c>
      <c r="O25" s="39">
        <v>0.56999999999999995</v>
      </c>
      <c r="P25" s="61">
        <v>0.54</v>
      </c>
      <c r="R25" s="35" t="s">
        <v>315</v>
      </c>
      <c r="S25" t="s">
        <v>316</v>
      </c>
    </row>
    <row r="26" spans="1:20" ht="37.049999999999997" hidden="1" customHeight="1" x14ac:dyDescent="0.3">
      <c r="A26" s="121" t="s">
        <v>185</v>
      </c>
      <c r="B26" s="80" t="s">
        <v>184</v>
      </c>
      <c r="C26" s="41">
        <f>'Balance Sheet (TATA STEEL)'!D66/'Balance Sheet (TATA STEEL)'!D67</f>
        <v>0.43126538363047728</v>
      </c>
      <c r="D26" s="41">
        <f>'Balance Sheet (TATA STEEL)'!E66/'Balance Sheet (TATA STEEL)'!E67</f>
        <v>0.43035716050351247</v>
      </c>
      <c r="E26" s="116">
        <f>'Balance Sheet (TATA STEEL)'!F66/'Balance Sheet (TATA STEEL)'!F67</f>
        <v>0.50131596582164106</v>
      </c>
      <c r="G26" s="121" t="s">
        <v>185</v>
      </c>
      <c r="H26" s="80" t="s">
        <v>184</v>
      </c>
      <c r="I26" s="41">
        <f>'Balance Sheet (JSPL)'!D68/'Balance Sheet (JSPL)'!D69</f>
        <v>0.3949414609628607</v>
      </c>
      <c r="J26" s="41">
        <f>'Balance Sheet (JSPL)'!E68/'Balance Sheet (JSPL)'!E69</f>
        <v>0.368293334196093</v>
      </c>
      <c r="K26" s="116">
        <f>'Balance Sheet (JSPL)'!F68/'Balance Sheet (JSPL)'!F69</f>
        <v>0.32285262361785394</v>
      </c>
      <c r="M26" s="121" t="s">
        <v>185</v>
      </c>
      <c r="N26" s="41"/>
      <c r="O26" s="41"/>
      <c r="P26" s="116"/>
    </row>
    <row r="27" spans="1:20" x14ac:dyDescent="0.3">
      <c r="A27" s="172" t="s">
        <v>186</v>
      </c>
      <c r="B27" s="173" t="s">
        <v>187</v>
      </c>
      <c r="C27" s="174">
        <f>'P L Statement (TATA STEEL) '!B67/'P L Statement (TATA STEEL) '!B73</f>
        <v>6.4631173216123283</v>
      </c>
      <c r="D27" s="174">
        <f>'P L Statement (TATA STEEL) '!C67/'P L Statement (TATA STEEL) '!C73</f>
        <v>7.523426297152553</v>
      </c>
      <c r="E27" s="175">
        <f>'P L Statement (TATA STEEL) '!D67/'P L Statement (TATA STEEL) '!D73</f>
        <v>6.3497823445444599</v>
      </c>
      <c r="G27" s="172" t="s">
        <v>186</v>
      </c>
      <c r="H27" s="173" t="s">
        <v>187</v>
      </c>
      <c r="I27" s="174">
        <f>'P L Statement (JSPL)'!B69/'P L Statement (JSPL)'!B78</f>
        <v>4.9514847018930164</v>
      </c>
      <c r="J27" s="174">
        <f>'P L Statement (JSPL)'!C69/'P L Statement (JSPL)'!C78</f>
        <v>7.9622502172024294</v>
      </c>
      <c r="K27" s="175">
        <f>'P L Statement (JSPL)'!D69/'P L Statement (JSPL)'!D78</f>
        <v>9.5530789329376482</v>
      </c>
      <c r="M27" s="172" t="s">
        <v>186</v>
      </c>
      <c r="N27" s="174">
        <v>2.17</v>
      </c>
      <c r="O27" s="174">
        <v>2.83</v>
      </c>
      <c r="P27" s="175">
        <v>2.19</v>
      </c>
      <c r="R27" s="35" t="s">
        <v>318</v>
      </c>
      <c r="S27" t="s">
        <v>317</v>
      </c>
    </row>
    <row r="28" spans="1:20" hidden="1" x14ac:dyDescent="0.3">
      <c r="A28" s="114" t="s">
        <v>188</v>
      </c>
      <c r="B28" s="38" t="s">
        <v>189</v>
      </c>
      <c r="C28" s="39">
        <f>'Balance Sheet (TATA STEEL)'!D38/'Balance Sheet (TATA STEEL)'!D33</f>
        <v>0.56873461636952272</v>
      </c>
      <c r="D28" s="39">
        <f>'Balance Sheet (TATA STEEL)'!E38/'Balance Sheet (TATA STEEL)'!E33</f>
        <v>0.56964283949648764</v>
      </c>
      <c r="E28" s="61">
        <f>'Balance Sheet (TATA STEEL)'!F38/'Balance Sheet (TATA STEEL)'!F33</f>
        <v>0.49868403417835894</v>
      </c>
      <c r="G28" s="114" t="s">
        <v>188</v>
      </c>
      <c r="H28" s="38" t="s">
        <v>189</v>
      </c>
      <c r="I28" s="39">
        <f>'Balance Sheet (JSPL)'!D40/'Balance Sheet (JSPL)'!D35</f>
        <v>0.60505853903713935</v>
      </c>
      <c r="J28" s="39">
        <f>'Balance Sheet (JSPL)'!E40/'Balance Sheet (JSPL)'!E35</f>
        <v>0.631706665803907</v>
      </c>
      <c r="K28" s="61">
        <f>'Balance Sheet (JSPL)'!F40/'Balance Sheet (JSPL)'!F35</f>
        <v>0.67714737638214606</v>
      </c>
      <c r="M28" s="114" t="s">
        <v>188</v>
      </c>
      <c r="N28" s="39"/>
      <c r="O28" s="39"/>
      <c r="P28" s="61"/>
    </row>
    <row r="29" spans="1:20" ht="130.94999999999999" customHeight="1" thickBot="1" x14ac:dyDescent="0.35">
      <c r="A29" s="125" t="s">
        <v>208</v>
      </c>
      <c r="B29" s="126" t="s">
        <v>209</v>
      </c>
      <c r="C29" s="127">
        <f>'P L Statement (TATA STEEL) '!B67/('P L Statement (TATA STEEL) '!B73+'Balance Sheet (TATA STEEL)'!D97+'Balance Sheet (TATA STEEL)'!D102)</f>
        <v>2.5014850087152984</v>
      </c>
      <c r="D29" s="127">
        <f>'P L Statement (TATA STEEL) '!C67/('P L Statement (TATA STEEL) '!C73+'Balance Sheet (TATA STEEL)'!E97+'Balance Sheet (TATA STEEL)'!E102)</f>
        <v>3.8843873866160314</v>
      </c>
      <c r="E29" s="128">
        <f>'P L Statement (TATA STEEL) '!D67/('P L Statement (TATA STEEL) '!D73+'Balance Sheet (TATA STEEL)'!F97+'Balance Sheet (TATA STEEL)'!F102)</f>
        <v>2.8918036944031664</v>
      </c>
      <c r="G29" s="125" t="s">
        <v>208</v>
      </c>
      <c r="H29" s="126" t="s">
        <v>209</v>
      </c>
      <c r="I29" s="127">
        <f>'P L Statement (JSPL)'!B69/('P L Statement (JSPL)'!B78+'Balance Sheet (JSPL)'!D101)</f>
        <v>1.3771582585973434</v>
      </c>
      <c r="J29" s="127">
        <f>'P L Statement (JSPL)'!C69/('P L Statement (JSPL)'!C78+'Balance Sheet (JSPL)'!E101+'Balance Sheet (JSPL)'!E106)</f>
        <v>2.2347995988624265</v>
      </c>
      <c r="K29" s="128">
        <f>'P L Statement (JSPL)'!D69/('P L Statement (JSPL)'!D78+'Balance Sheet (JSPL)'!F101+'Balance Sheet (JSPL)'!F106)</f>
        <v>2.8805349544072949</v>
      </c>
      <c r="M29" s="125" t="s">
        <v>208</v>
      </c>
      <c r="N29" s="127">
        <v>2.66</v>
      </c>
      <c r="O29" s="127">
        <v>2.08</v>
      </c>
      <c r="P29" s="128">
        <v>2.68</v>
      </c>
      <c r="R29" s="35" t="s">
        <v>318</v>
      </c>
      <c r="S29" t="s">
        <v>319</v>
      </c>
    </row>
    <row r="30" spans="1:20" ht="16.2" thickTop="1" x14ac:dyDescent="0.3"/>
  </sheetData>
  <mergeCells count="15">
    <mergeCell ref="M1:P1"/>
    <mergeCell ref="M4:P4"/>
    <mergeCell ref="M8:P8"/>
    <mergeCell ref="M15:P15"/>
    <mergeCell ref="M23:P23"/>
    <mergeCell ref="A8:E8"/>
    <mergeCell ref="A15:E15"/>
    <mergeCell ref="A23:E23"/>
    <mergeCell ref="A4:E4"/>
    <mergeCell ref="A1:E1"/>
    <mergeCell ref="G4:K4"/>
    <mergeCell ref="G8:K8"/>
    <mergeCell ref="G15:K15"/>
    <mergeCell ref="G23:K23"/>
    <mergeCell ref="G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3141D-F186-4DA0-95DD-DB6C1AB0E6F9}">
  <dimension ref="A1:P40"/>
  <sheetViews>
    <sheetView topLeftCell="A13" zoomScale="84" workbookViewId="0">
      <selection activeCell="B44" sqref="B44"/>
    </sheetView>
  </sheetViews>
  <sheetFormatPr defaultRowHeight="15.6" x14ac:dyDescent="0.3"/>
  <cols>
    <col min="1" max="1" width="16.3984375" bestFit="1" customWidth="1"/>
    <col min="2" max="2" width="76.69921875" customWidth="1"/>
    <col min="11" max="11" width="10.59765625" bestFit="1" customWidth="1"/>
    <col min="12" max="12" width="8.19921875" bestFit="1" customWidth="1"/>
  </cols>
  <sheetData>
    <row r="1" spans="1:16" x14ac:dyDescent="0.3">
      <c r="A1" t="s">
        <v>352</v>
      </c>
      <c r="B1" t="s">
        <v>341</v>
      </c>
      <c r="C1" t="s">
        <v>340</v>
      </c>
      <c r="D1" t="s">
        <v>100</v>
      </c>
      <c r="E1" t="s">
        <v>342</v>
      </c>
      <c r="F1" t="s">
        <v>343</v>
      </c>
      <c r="G1" t="s">
        <v>158</v>
      </c>
      <c r="H1" t="s">
        <v>160</v>
      </c>
      <c r="I1" t="s">
        <v>162</v>
      </c>
      <c r="J1" t="s">
        <v>344</v>
      </c>
      <c r="K1" t="s">
        <v>345</v>
      </c>
      <c r="L1" t="s">
        <v>346</v>
      </c>
      <c r="M1" t="s">
        <v>347</v>
      </c>
      <c r="N1" t="s">
        <v>348</v>
      </c>
      <c r="O1" t="s">
        <v>349</v>
      </c>
      <c r="P1" t="s">
        <v>350</v>
      </c>
    </row>
    <row r="2" spans="1:16" x14ac:dyDescent="0.3">
      <c r="A2" s="186">
        <v>1</v>
      </c>
      <c r="B2" t="s">
        <v>353</v>
      </c>
      <c r="C2" t="s">
        <v>353</v>
      </c>
      <c r="D2" s="190" t="s">
        <v>357</v>
      </c>
      <c r="E2" s="190" t="s">
        <v>357</v>
      </c>
      <c r="F2" s="190" t="s">
        <v>357</v>
      </c>
      <c r="G2" s="190" t="s">
        <v>357</v>
      </c>
      <c r="H2" s="190" t="s">
        <v>357</v>
      </c>
      <c r="I2" s="190" t="s">
        <v>357</v>
      </c>
      <c r="J2" t="s">
        <v>353</v>
      </c>
      <c r="K2" s="191" t="s">
        <v>357</v>
      </c>
      <c r="L2" s="191" t="s">
        <v>357</v>
      </c>
      <c r="M2" t="s">
        <v>355</v>
      </c>
      <c r="N2" t="s">
        <v>353</v>
      </c>
      <c r="O2" t="s">
        <v>353</v>
      </c>
      <c r="P2" s="191" t="s">
        <v>357</v>
      </c>
    </row>
    <row r="3" spans="1:16" x14ac:dyDescent="0.3">
      <c r="A3" s="186">
        <v>2</v>
      </c>
      <c r="B3" s="187" t="s">
        <v>354</v>
      </c>
      <c r="C3" t="s">
        <v>356</v>
      </c>
      <c r="D3" s="189" t="s">
        <v>358</v>
      </c>
      <c r="E3" s="189" t="s">
        <v>358</v>
      </c>
      <c r="F3" s="189" t="s">
        <v>358</v>
      </c>
      <c r="G3" s="189" t="s">
        <v>358</v>
      </c>
      <c r="H3" s="189" t="s">
        <v>358</v>
      </c>
      <c r="I3" s="189" t="s">
        <v>358</v>
      </c>
      <c r="J3" t="s">
        <v>356</v>
      </c>
      <c r="K3" t="s">
        <v>358</v>
      </c>
      <c r="L3" t="s">
        <v>358</v>
      </c>
      <c r="M3" t="s">
        <v>358</v>
      </c>
      <c r="N3" s="187" t="s">
        <v>354</v>
      </c>
      <c r="O3" s="187" t="s">
        <v>354</v>
      </c>
      <c r="P3" t="s">
        <v>358</v>
      </c>
    </row>
    <row r="4" spans="1:16" x14ac:dyDescent="0.3">
      <c r="A4" s="186">
        <v>3</v>
      </c>
      <c r="B4" t="s">
        <v>355</v>
      </c>
      <c r="C4" s="188" t="s">
        <v>354</v>
      </c>
      <c r="D4" s="189" t="s">
        <v>355</v>
      </c>
      <c r="E4" s="189" t="s">
        <v>355</v>
      </c>
      <c r="F4" s="189" t="s">
        <v>355</v>
      </c>
      <c r="G4" s="189" t="s">
        <v>355</v>
      </c>
      <c r="H4" s="189" t="s">
        <v>355</v>
      </c>
      <c r="I4" s="189" t="s">
        <v>355</v>
      </c>
      <c r="J4" s="188" t="s">
        <v>354</v>
      </c>
      <c r="K4" t="s">
        <v>355</v>
      </c>
      <c r="L4" t="s">
        <v>355</v>
      </c>
      <c r="M4" s="188" t="s">
        <v>354</v>
      </c>
      <c r="N4" t="s">
        <v>355</v>
      </c>
      <c r="O4" t="s">
        <v>355</v>
      </c>
      <c r="P4" t="s">
        <v>355</v>
      </c>
    </row>
    <row r="6" spans="1:16" x14ac:dyDescent="0.3">
      <c r="A6" t="s">
        <v>351</v>
      </c>
      <c r="B6" t="s">
        <v>311</v>
      </c>
      <c r="C6" t="s">
        <v>311</v>
      </c>
      <c r="D6" t="s">
        <v>311</v>
      </c>
      <c r="E6" t="s">
        <v>311</v>
      </c>
      <c r="F6" t="s">
        <v>311</v>
      </c>
      <c r="G6" t="s">
        <v>311</v>
      </c>
      <c r="H6" t="s">
        <v>311</v>
      </c>
      <c r="I6" t="s">
        <v>311</v>
      </c>
      <c r="J6" t="s">
        <v>311</v>
      </c>
      <c r="K6" t="s">
        <v>311</v>
      </c>
      <c r="L6" t="s">
        <v>323</v>
      </c>
      <c r="M6" t="s">
        <v>311</v>
      </c>
      <c r="N6" t="s">
        <v>323</v>
      </c>
      <c r="O6" t="s">
        <v>311</v>
      </c>
      <c r="P6" t="s">
        <v>311</v>
      </c>
    </row>
    <row r="8" spans="1:16" x14ac:dyDescent="0.3">
      <c r="B8" t="s">
        <v>359</v>
      </c>
      <c r="C8" t="s">
        <v>360</v>
      </c>
    </row>
    <row r="9" spans="1:16" x14ac:dyDescent="0.3">
      <c r="B9" t="s">
        <v>361</v>
      </c>
      <c r="C9" t="s">
        <v>363</v>
      </c>
    </row>
    <row r="10" spans="1:16" x14ac:dyDescent="0.3">
      <c r="B10" t="s">
        <v>361</v>
      </c>
      <c r="C10" t="s">
        <v>362</v>
      </c>
    </row>
    <row r="12" spans="1:16" x14ac:dyDescent="0.3">
      <c r="A12" t="s">
        <v>341</v>
      </c>
      <c r="B12" s="229" t="s">
        <v>328</v>
      </c>
      <c r="C12" t="s">
        <v>365</v>
      </c>
    </row>
    <row r="13" spans="1:16" x14ac:dyDescent="0.3">
      <c r="A13" t="s">
        <v>340</v>
      </c>
      <c r="B13" s="230" t="s">
        <v>329</v>
      </c>
      <c r="C13" t="s">
        <v>386</v>
      </c>
    </row>
    <row r="14" spans="1:16" x14ac:dyDescent="0.3">
      <c r="B14" s="106"/>
    </row>
    <row r="15" spans="1:16" x14ac:dyDescent="0.3">
      <c r="A15" t="s">
        <v>100</v>
      </c>
      <c r="B15" s="235" t="s">
        <v>330</v>
      </c>
      <c r="C15" t="s">
        <v>388</v>
      </c>
      <c r="K15" t="s">
        <v>387</v>
      </c>
    </row>
    <row r="16" spans="1:16" x14ac:dyDescent="0.3">
      <c r="A16" t="s">
        <v>342</v>
      </c>
      <c r="B16" s="235" t="s">
        <v>331</v>
      </c>
      <c r="C16" t="s">
        <v>366</v>
      </c>
    </row>
    <row r="17" spans="1:4" x14ac:dyDescent="0.3">
      <c r="A17" t="s">
        <v>343</v>
      </c>
      <c r="B17" s="235" t="s">
        <v>332</v>
      </c>
      <c r="C17" t="s">
        <v>367</v>
      </c>
    </row>
    <row r="18" spans="1:4" x14ac:dyDescent="0.3">
      <c r="A18" t="s">
        <v>158</v>
      </c>
      <c r="B18" s="235" t="s">
        <v>333</v>
      </c>
      <c r="C18" t="s">
        <v>368</v>
      </c>
    </row>
    <row r="19" spans="1:4" x14ac:dyDescent="0.3">
      <c r="A19" t="s">
        <v>160</v>
      </c>
      <c r="B19" s="235" t="s">
        <v>364</v>
      </c>
      <c r="C19" t="s">
        <v>369</v>
      </c>
    </row>
    <row r="20" spans="1:4" x14ac:dyDescent="0.3">
      <c r="A20" t="s">
        <v>162</v>
      </c>
      <c r="B20" s="236" t="s">
        <v>334</v>
      </c>
      <c r="C20" t="s">
        <v>375</v>
      </c>
    </row>
    <row r="21" spans="1:4" x14ac:dyDescent="0.3">
      <c r="B21" s="231"/>
      <c r="D21" s="50"/>
    </row>
    <row r="22" spans="1:4" x14ac:dyDescent="0.3">
      <c r="A22" t="s">
        <v>344</v>
      </c>
      <c r="B22" s="230" t="s">
        <v>335</v>
      </c>
      <c r="C22" t="s">
        <v>370</v>
      </c>
      <c r="D22" s="50"/>
    </row>
    <row r="23" spans="1:4" x14ac:dyDescent="0.3">
      <c r="A23" t="s">
        <v>345</v>
      </c>
      <c r="B23" s="236" t="s">
        <v>372</v>
      </c>
      <c r="C23" t="s">
        <v>371</v>
      </c>
      <c r="D23" s="50"/>
    </row>
    <row r="24" spans="1:4" x14ac:dyDescent="0.3">
      <c r="A24" t="s">
        <v>346</v>
      </c>
      <c r="B24" s="236" t="s">
        <v>336</v>
      </c>
      <c r="C24" t="s">
        <v>373</v>
      </c>
      <c r="D24" s="50"/>
    </row>
    <row r="25" spans="1:4" x14ac:dyDescent="0.3">
      <c r="A25" t="s">
        <v>347</v>
      </c>
      <c r="B25" s="232" t="s">
        <v>337</v>
      </c>
      <c r="C25" t="s">
        <v>377</v>
      </c>
      <c r="D25" s="50"/>
    </row>
    <row r="26" spans="1:4" x14ac:dyDescent="0.3">
      <c r="B26" s="231"/>
      <c r="D26" s="185"/>
    </row>
    <row r="27" spans="1:4" x14ac:dyDescent="0.3">
      <c r="A27" t="s">
        <v>348</v>
      </c>
      <c r="B27" s="233" t="s">
        <v>338</v>
      </c>
      <c r="C27" t="s">
        <v>374</v>
      </c>
    </row>
    <row r="28" spans="1:4" x14ac:dyDescent="0.3">
      <c r="A28" t="s">
        <v>349</v>
      </c>
      <c r="B28" s="234" t="s">
        <v>339</v>
      </c>
    </row>
    <row r="29" spans="1:4" x14ac:dyDescent="0.3">
      <c r="A29" t="s">
        <v>350</v>
      </c>
      <c r="B29" s="236" t="s">
        <v>376</v>
      </c>
    </row>
    <row r="30" spans="1:4" x14ac:dyDescent="0.3">
      <c r="B30" s="89"/>
    </row>
    <row r="31" spans="1:4" x14ac:dyDescent="0.3">
      <c r="B31" t="s">
        <v>382</v>
      </c>
    </row>
    <row r="32" spans="1:4" x14ac:dyDescent="0.3">
      <c r="B32" t="s">
        <v>379</v>
      </c>
    </row>
    <row r="33" spans="2:2" x14ac:dyDescent="0.3">
      <c r="B33" t="s">
        <v>383</v>
      </c>
    </row>
    <row r="34" spans="2:2" x14ac:dyDescent="0.3">
      <c r="B34" t="s">
        <v>384</v>
      </c>
    </row>
    <row r="35" spans="2:2" x14ac:dyDescent="0.3">
      <c r="B35" t="s">
        <v>385</v>
      </c>
    </row>
    <row r="36" spans="2:2" x14ac:dyDescent="0.3">
      <c r="B36" t="s">
        <v>378</v>
      </c>
    </row>
    <row r="39" spans="2:2" x14ac:dyDescent="0.3">
      <c r="B39" t="s">
        <v>380</v>
      </c>
    </row>
    <row r="40" spans="2:2" x14ac:dyDescent="0.3">
      <c r="B40" t="s">
        <v>381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1E8E-689E-413F-BDEB-5C964A762387}">
  <dimension ref="A1:K55"/>
  <sheetViews>
    <sheetView topLeftCell="A11" workbookViewId="0">
      <selection activeCell="A21" sqref="A21"/>
    </sheetView>
  </sheetViews>
  <sheetFormatPr defaultRowHeight="15.6" x14ac:dyDescent="0.3"/>
  <cols>
    <col min="1" max="1" width="28" style="1" customWidth="1"/>
    <col min="2" max="16384" width="8.796875" style="1"/>
  </cols>
  <sheetData>
    <row r="1" spans="1:11" x14ac:dyDescent="0.3">
      <c r="B1" s="177" t="s">
        <v>253</v>
      </c>
      <c r="C1" s="177" t="s">
        <v>254</v>
      </c>
      <c r="D1" s="177" t="s">
        <v>255</v>
      </c>
      <c r="E1" s="177" t="s">
        <v>256</v>
      </c>
      <c r="F1" s="177" t="s">
        <v>257</v>
      </c>
      <c r="G1" s="176"/>
      <c r="H1" s="176"/>
      <c r="I1" s="176"/>
      <c r="J1" s="176"/>
      <c r="K1" s="176"/>
    </row>
    <row r="2" spans="1:11" ht="16.2" thickBot="1" x14ac:dyDescent="0.35">
      <c r="A2" s="202"/>
      <c r="B2" s="202"/>
      <c r="C2" s="202"/>
      <c r="D2" s="202"/>
      <c r="E2" s="202"/>
      <c r="F2" s="202"/>
      <c r="G2" s="202"/>
      <c r="H2" s="202"/>
      <c r="I2" s="202"/>
      <c r="J2" s="202"/>
      <c r="K2" s="202"/>
    </row>
    <row r="3" spans="1:11" x14ac:dyDescent="0.3">
      <c r="A3" s="203" t="s">
        <v>258</v>
      </c>
      <c r="B3" s="204"/>
      <c r="C3" s="177"/>
      <c r="D3" s="177"/>
      <c r="E3" s="177"/>
      <c r="F3" s="177"/>
      <c r="G3" s="180" t="s">
        <v>310</v>
      </c>
      <c r="H3" s="176"/>
      <c r="I3" s="176"/>
      <c r="J3" s="176"/>
      <c r="K3" s="176"/>
    </row>
    <row r="4" spans="1:11" x14ac:dyDescent="0.3">
      <c r="A4" s="178" t="s">
        <v>259</v>
      </c>
      <c r="B4" s="179">
        <v>10</v>
      </c>
      <c r="C4" s="179">
        <v>10</v>
      </c>
      <c r="D4" s="179">
        <v>10</v>
      </c>
      <c r="E4" s="179">
        <v>10</v>
      </c>
      <c r="F4" s="179">
        <v>10</v>
      </c>
      <c r="G4" s="176"/>
      <c r="H4" s="176"/>
      <c r="I4" s="176"/>
      <c r="J4" s="176"/>
      <c r="K4" s="176"/>
    </row>
    <row r="5" spans="1:11" x14ac:dyDescent="0.3">
      <c r="A5" s="178" t="s">
        <v>260</v>
      </c>
      <c r="B5" s="179">
        <v>1.6</v>
      </c>
      <c r="C5" s="179">
        <v>2</v>
      </c>
      <c r="D5" s="179">
        <v>1.5</v>
      </c>
      <c r="E5" s="179">
        <v>8.75</v>
      </c>
      <c r="F5" s="179">
        <v>2.8</v>
      </c>
      <c r="G5" s="176"/>
      <c r="H5" s="176"/>
      <c r="I5" s="176"/>
      <c r="J5" s="176"/>
      <c r="K5" s="176"/>
    </row>
    <row r="6" spans="1:11" x14ac:dyDescent="0.3">
      <c r="A6" s="178" t="s">
        <v>261</v>
      </c>
      <c r="B6" s="179">
        <v>25.73</v>
      </c>
      <c r="C6" s="179">
        <v>26.95</v>
      </c>
      <c r="D6" s="179">
        <v>19.43</v>
      </c>
      <c r="E6" s="179">
        <v>51.62</v>
      </c>
      <c r="F6" s="179">
        <v>30.81</v>
      </c>
      <c r="G6" s="176"/>
      <c r="H6" s="176"/>
      <c r="I6" s="176"/>
      <c r="J6" s="176"/>
      <c r="K6" s="176"/>
    </row>
    <row r="7" spans="1:11" ht="31.2" x14ac:dyDescent="0.3">
      <c r="A7" s="178" t="s">
        <v>262</v>
      </c>
      <c r="B7" s="179">
        <v>248.1</v>
      </c>
      <c r="C7" s="179">
        <v>255.11</v>
      </c>
      <c r="D7" s="179">
        <v>252.87</v>
      </c>
      <c r="E7" s="179">
        <v>250.51</v>
      </c>
      <c r="F7" s="179">
        <v>167.32</v>
      </c>
      <c r="G7" s="176"/>
      <c r="H7" s="176"/>
      <c r="I7" s="176"/>
      <c r="J7" s="176"/>
      <c r="K7" s="176"/>
    </row>
    <row r="8" spans="1:11" x14ac:dyDescent="0.3">
      <c r="A8" s="178" t="s">
        <v>263</v>
      </c>
      <c r="B8" s="179" t="s">
        <v>264</v>
      </c>
      <c r="C8" s="179" t="s">
        <v>264</v>
      </c>
      <c r="D8" s="179" t="s">
        <v>264</v>
      </c>
      <c r="E8" s="179" t="s">
        <v>264</v>
      </c>
      <c r="F8" s="179" t="s">
        <v>264</v>
      </c>
      <c r="G8" s="176"/>
      <c r="H8" s="176"/>
      <c r="I8" s="176"/>
      <c r="J8" s="176"/>
      <c r="K8" s="176"/>
    </row>
    <row r="9" spans="1:11" x14ac:dyDescent="0.3">
      <c r="A9" s="178" t="s">
        <v>265</v>
      </c>
      <c r="B9" s="179" t="s">
        <v>264</v>
      </c>
      <c r="C9" s="179" t="s">
        <v>264</v>
      </c>
      <c r="D9" s="179" t="s">
        <v>264</v>
      </c>
      <c r="E9" s="179" t="s">
        <v>264</v>
      </c>
      <c r="F9" s="179" t="s">
        <v>264</v>
      </c>
      <c r="G9" s="176"/>
      <c r="H9" s="176"/>
      <c r="I9" s="176"/>
      <c r="J9" s="176"/>
      <c r="K9" s="176"/>
    </row>
    <row r="10" spans="1:11" x14ac:dyDescent="0.3">
      <c r="A10" s="200" t="s">
        <v>266</v>
      </c>
      <c r="B10" s="201"/>
      <c r="C10" s="177"/>
      <c r="D10" s="177"/>
      <c r="E10" s="177"/>
      <c r="F10" s="177"/>
      <c r="G10" s="176"/>
      <c r="H10" s="176"/>
      <c r="I10" s="176"/>
      <c r="J10" s="176"/>
      <c r="K10" s="176"/>
    </row>
    <row r="11" spans="1:11" x14ac:dyDescent="0.3">
      <c r="A11" s="178" t="s">
        <v>267</v>
      </c>
      <c r="B11" s="179">
        <v>10.37</v>
      </c>
      <c r="C11" s="179">
        <v>10.56</v>
      </c>
      <c r="D11" s="179">
        <v>7.68</v>
      </c>
      <c r="E11" s="179">
        <v>20.6</v>
      </c>
      <c r="F11" s="179">
        <v>18.41</v>
      </c>
      <c r="G11" s="176"/>
      <c r="H11" s="176"/>
      <c r="I11" s="176"/>
      <c r="J11" s="176"/>
      <c r="K11" s="176"/>
    </row>
    <row r="12" spans="1:11" ht="31.2" x14ac:dyDescent="0.3">
      <c r="A12" s="178" t="s">
        <v>268</v>
      </c>
      <c r="B12" s="179">
        <v>4.8</v>
      </c>
      <c r="C12" s="179">
        <v>5.49</v>
      </c>
      <c r="D12" s="179">
        <v>2.89</v>
      </c>
      <c r="E12" s="179">
        <v>16.309999999999999</v>
      </c>
      <c r="F12" s="179">
        <v>12.3</v>
      </c>
      <c r="G12" s="176"/>
      <c r="H12" s="176"/>
      <c r="I12" s="176"/>
      <c r="J12" s="176"/>
      <c r="K12" s="176"/>
    </row>
    <row r="13" spans="1:11" x14ac:dyDescent="0.3">
      <c r="A13" s="178" t="s">
        <v>269</v>
      </c>
      <c r="B13" s="179">
        <v>4.8499999999999996</v>
      </c>
      <c r="C13" s="179">
        <v>5.55</v>
      </c>
      <c r="D13" s="179">
        <v>2.93</v>
      </c>
      <c r="E13" s="179">
        <v>16.47</v>
      </c>
      <c r="F13" s="179">
        <v>12.48</v>
      </c>
      <c r="G13" s="176"/>
      <c r="H13" s="176"/>
      <c r="I13" s="176"/>
      <c r="J13" s="176"/>
      <c r="K13" s="176"/>
    </row>
    <row r="14" spans="1:11" x14ac:dyDescent="0.3">
      <c r="A14" s="178" t="s">
        <v>270</v>
      </c>
      <c r="B14" s="179">
        <v>7.82</v>
      </c>
      <c r="C14" s="179">
        <v>8.3000000000000007</v>
      </c>
      <c r="D14" s="179">
        <v>6.24</v>
      </c>
      <c r="E14" s="179">
        <v>15.92</v>
      </c>
      <c r="F14" s="179">
        <v>11.25</v>
      </c>
      <c r="G14" s="176"/>
      <c r="H14" s="176"/>
      <c r="I14" s="176"/>
      <c r="J14" s="176"/>
      <c r="K14" s="176"/>
    </row>
    <row r="15" spans="1:11" x14ac:dyDescent="0.3">
      <c r="A15" s="178" t="s">
        <v>271</v>
      </c>
      <c r="B15" s="179">
        <v>7.82</v>
      </c>
      <c r="C15" s="179">
        <v>8.3000000000000007</v>
      </c>
      <c r="D15" s="179">
        <v>6.24</v>
      </c>
      <c r="E15" s="179">
        <v>15.92</v>
      </c>
      <c r="F15" s="179">
        <v>11.25</v>
      </c>
      <c r="G15" s="176"/>
      <c r="H15" s="176"/>
      <c r="I15" s="176"/>
      <c r="J15" s="176"/>
      <c r="K15" s="176"/>
    </row>
    <row r="16" spans="1:11" x14ac:dyDescent="0.3">
      <c r="A16" s="178" t="s">
        <v>272</v>
      </c>
      <c r="B16" s="179">
        <v>2.09</v>
      </c>
      <c r="C16" s="179">
        <v>2.59</v>
      </c>
      <c r="D16" s="179">
        <v>1.82</v>
      </c>
      <c r="E16" s="179">
        <v>11.61</v>
      </c>
      <c r="F16" s="179">
        <v>5.57</v>
      </c>
      <c r="G16" s="176"/>
      <c r="H16" s="176"/>
      <c r="I16" s="176"/>
      <c r="J16" s="176"/>
      <c r="K16" s="176"/>
    </row>
    <row r="17" spans="1:11" x14ac:dyDescent="0.3">
      <c r="A17" s="178" t="s">
        <v>273</v>
      </c>
      <c r="B17" s="179">
        <v>2.0699999999999998</v>
      </c>
      <c r="C17" s="179">
        <v>2.56</v>
      </c>
      <c r="D17" s="179">
        <v>1.79</v>
      </c>
      <c r="E17" s="179">
        <v>11.49</v>
      </c>
      <c r="F17" s="179">
        <v>5.49</v>
      </c>
      <c r="G17" s="176"/>
      <c r="H17" s="176"/>
      <c r="I17" s="176"/>
      <c r="J17" s="176"/>
      <c r="K17" s="176"/>
    </row>
    <row r="18" spans="1:11" x14ac:dyDescent="0.3">
      <c r="A18" s="178" t="s">
        <v>274</v>
      </c>
      <c r="B18" s="179">
        <v>7.15</v>
      </c>
      <c r="C18" s="179">
        <v>8.26</v>
      </c>
      <c r="D18" s="179">
        <v>5.67</v>
      </c>
      <c r="E18" s="179">
        <v>27.65</v>
      </c>
      <c r="F18" s="179">
        <v>12.18</v>
      </c>
      <c r="G18" s="176"/>
      <c r="H18" s="176"/>
      <c r="I18" s="176"/>
      <c r="J18" s="176"/>
      <c r="K18" s="176"/>
    </row>
    <row r="19" spans="1:11" x14ac:dyDescent="0.3">
      <c r="A19" s="178" t="s">
        <v>275</v>
      </c>
      <c r="B19" s="179">
        <v>3.85</v>
      </c>
      <c r="C19" s="179">
        <v>5.04</v>
      </c>
      <c r="D19" s="179">
        <v>3.64</v>
      </c>
      <c r="E19" s="179">
        <v>23.09</v>
      </c>
      <c r="F19" s="179">
        <v>8.85</v>
      </c>
      <c r="G19" s="176"/>
      <c r="H19" s="176"/>
      <c r="I19" s="176"/>
      <c r="J19" s="176"/>
      <c r="K19" s="176"/>
    </row>
    <row r="20" spans="1:11" ht="31.2" x14ac:dyDescent="0.3">
      <c r="A20" s="178" t="s">
        <v>276</v>
      </c>
      <c r="B20" s="179">
        <v>4.42</v>
      </c>
      <c r="C20" s="179">
        <v>6.6</v>
      </c>
      <c r="D20" s="179">
        <v>3.15</v>
      </c>
      <c r="E20" s="179">
        <v>23.77</v>
      </c>
      <c r="F20" s="179">
        <v>8.7100000000000009</v>
      </c>
      <c r="G20" s="176"/>
      <c r="H20" s="176"/>
      <c r="I20" s="176"/>
      <c r="J20" s="176"/>
      <c r="K20" s="176"/>
    </row>
    <row r="21" spans="1:11" ht="31.2" x14ac:dyDescent="0.3">
      <c r="A21" s="178" t="s">
        <v>277</v>
      </c>
      <c r="B21" s="179">
        <v>134.74</v>
      </c>
      <c r="C21" s="179">
        <v>131.05000000000001</v>
      </c>
      <c r="D21" s="179">
        <v>126.23</v>
      </c>
      <c r="E21" s="179">
        <v>125.93</v>
      </c>
      <c r="F21" s="179">
        <v>105.3</v>
      </c>
      <c r="G21" s="176"/>
      <c r="H21" s="176"/>
      <c r="I21" s="176"/>
      <c r="J21" s="176"/>
      <c r="K21" s="176"/>
    </row>
    <row r="22" spans="1:11" ht="31.2" x14ac:dyDescent="0.3">
      <c r="A22" s="178" t="s">
        <v>278</v>
      </c>
      <c r="B22" s="179">
        <v>134.74</v>
      </c>
      <c r="C22" s="179">
        <v>131.05000000000001</v>
      </c>
      <c r="D22" s="179">
        <v>126.23</v>
      </c>
      <c r="E22" s="179">
        <v>125.93</v>
      </c>
      <c r="F22" s="179">
        <v>105.3</v>
      </c>
      <c r="G22" s="176"/>
      <c r="H22" s="176"/>
      <c r="I22" s="176"/>
      <c r="J22" s="176"/>
      <c r="K22" s="176"/>
    </row>
    <row r="23" spans="1:11" x14ac:dyDescent="0.3">
      <c r="A23" s="178" t="s">
        <v>279</v>
      </c>
      <c r="B23" s="179">
        <v>9.2899999999999991</v>
      </c>
      <c r="C23" s="179">
        <v>10.99</v>
      </c>
      <c r="D23" s="179">
        <v>7.58</v>
      </c>
      <c r="E23" s="179">
        <v>30.07</v>
      </c>
      <c r="F23" s="179">
        <v>15.24</v>
      </c>
      <c r="G23" s="176"/>
      <c r="H23" s="176"/>
      <c r="I23" s="176"/>
      <c r="J23" s="176"/>
      <c r="K23" s="176"/>
    </row>
    <row r="24" spans="1:11" x14ac:dyDescent="0.3">
      <c r="A24" s="200" t="s">
        <v>280</v>
      </c>
      <c r="B24" s="201"/>
      <c r="C24" s="177"/>
      <c r="D24" s="177"/>
      <c r="E24" s="177"/>
      <c r="F24" s="177"/>
      <c r="G24" s="176"/>
      <c r="H24" s="176"/>
      <c r="I24" s="176"/>
      <c r="J24" s="176"/>
      <c r="K24" s="176"/>
    </row>
    <row r="25" spans="1:11" x14ac:dyDescent="0.3">
      <c r="A25" s="178" t="s">
        <v>281</v>
      </c>
      <c r="B25" s="179">
        <v>0.57999999999999996</v>
      </c>
      <c r="C25" s="179">
        <v>0.6</v>
      </c>
      <c r="D25" s="179">
        <v>0.54</v>
      </c>
      <c r="E25" s="179">
        <v>0.61</v>
      </c>
      <c r="F25" s="179">
        <v>0.56000000000000005</v>
      </c>
      <c r="G25" s="176"/>
      <c r="H25" s="176"/>
      <c r="I25" s="176"/>
      <c r="J25" s="176"/>
      <c r="K25" s="176"/>
    </row>
    <row r="26" spans="1:11" x14ac:dyDescent="0.3">
      <c r="A26" s="178" t="s">
        <v>282</v>
      </c>
      <c r="B26" s="179">
        <v>0.36</v>
      </c>
      <c r="C26" s="179">
        <v>0.38</v>
      </c>
      <c r="D26" s="179">
        <v>0.31</v>
      </c>
      <c r="E26" s="179">
        <v>0.27</v>
      </c>
      <c r="F26" s="179">
        <v>0.51</v>
      </c>
      <c r="G26" s="176"/>
      <c r="H26" s="176"/>
      <c r="I26" s="176"/>
      <c r="J26" s="176"/>
      <c r="K26" s="176"/>
    </row>
    <row r="27" spans="1:11" x14ac:dyDescent="0.3">
      <c r="A27" s="178" t="s">
        <v>283</v>
      </c>
      <c r="B27" s="179">
        <v>0.54</v>
      </c>
      <c r="C27" s="179">
        <v>0.56999999999999995</v>
      </c>
      <c r="D27" s="179">
        <v>0.49</v>
      </c>
      <c r="E27" s="179">
        <v>0.26</v>
      </c>
      <c r="F27" s="179">
        <v>0.82</v>
      </c>
      <c r="G27" s="176"/>
      <c r="H27" s="176"/>
      <c r="I27" s="176"/>
      <c r="J27" s="176"/>
      <c r="K27" s="176"/>
    </row>
    <row r="28" spans="1:11" x14ac:dyDescent="0.3">
      <c r="A28" s="178" t="s">
        <v>284</v>
      </c>
      <c r="B28" s="179">
        <v>0.18</v>
      </c>
      <c r="C28" s="179">
        <v>0.18</v>
      </c>
      <c r="D28" s="179">
        <v>0.12</v>
      </c>
      <c r="E28" s="179">
        <v>0.16</v>
      </c>
      <c r="F28" s="179">
        <v>0.45</v>
      </c>
      <c r="G28" s="176"/>
      <c r="H28" s="176"/>
      <c r="I28" s="176"/>
      <c r="J28" s="176"/>
      <c r="K28" s="176"/>
    </row>
    <row r="29" spans="1:11" x14ac:dyDescent="0.3">
      <c r="A29" s="200" t="s">
        <v>285</v>
      </c>
      <c r="B29" s="201"/>
      <c r="C29" s="177"/>
      <c r="D29" s="177"/>
      <c r="E29" s="177"/>
      <c r="F29" s="177"/>
      <c r="G29" s="176"/>
      <c r="H29" s="176"/>
      <c r="I29" s="176"/>
      <c r="J29" s="176"/>
      <c r="K29" s="176"/>
    </row>
    <row r="30" spans="1:11" x14ac:dyDescent="0.3">
      <c r="A30" s="178" t="s">
        <v>286</v>
      </c>
      <c r="B30" s="179">
        <v>2.19</v>
      </c>
      <c r="C30" s="179">
        <v>2.83</v>
      </c>
      <c r="D30" s="179">
        <v>2.17</v>
      </c>
      <c r="E30" s="179">
        <v>10.65</v>
      </c>
      <c r="F30" s="179">
        <v>3.42</v>
      </c>
      <c r="G30" s="176"/>
      <c r="H30" s="176"/>
      <c r="I30" s="176"/>
      <c r="J30" s="176"/>
      <c r="K30" s="176"/>
    </row>
    <row r="31" spans="1:11" x14ac:dyDescent="0.3">
      <c r="A31" s="178" t="s">
        <v>287</v>
      </c>
      <c r="B31" s="179">
        <v>0.54</v>
      </c>
      <c r="C31" s="179">
        <v>0.56999999999999995</v>
      </c>
      <c r="D31" s="179">
        <v>0.49</v>
      </c>
      <c r="E31" s="179">
        <v>0.26</v>
      </c>
      <c r="F31" s="179">
        <v>0.82</v>
      </c>
      <c r="G31" s="176"/>
      <c r="H31" s="176"/>
      <c r="I31" s="176"/>
      <c r="J31" s="176"/>
      <c r="K31" s="176"/>
    </row>
    <row r="32" spans="1:11" ht="31.2" x14ac:dyDescent="0.3">
      <c r="A32" s="178" t="s">
        <v>288</v>
      </c>
      <c r="B32" s="179">
        <v>4.21</v>
      </c>
      <c r="C32" s="179">
        <v>4.96</v>
      </c>
      <c r="D32" s="179">
        <v>4.5999999999999996</v>
      </c>
      <c r="E32" s="179">
        <v>13.17</v>
      </c>
      <c r="F32" s="179">
        <v>4.88</v>
      </c>
      <c r="G32" s="176"/>
      <c r="H32" s="176"/>
      <c r="I32" s="176"/>
      <c r="J32" s="176"/>
      <c r="K32" s="176"/>
    </row>
    <row r="33" spans="1:11" ht="31.2" x14ac:dyDescent="0.3">
      <c r="A33" s="178" t="s">
        <v>289</v>
      </c>
      <c r="B33" s="179">
        <v>3.79</v>
      </c>
      <c r="C33" s="179">
        <v>4.24</v>
      </c>
      <c r="D33" s="179">
        <v>4.37</v>
      </c>
      <c r="E33" s="179">
        <v>10.59</v>
      </c>
      <c r="F33" s="179">
        <v>3.82</v>
      </c>
      <c r="G33" s="176"/>
      <c r="H33" s="176"/>
      <c r="I33" s="176"/>
      <c r="J33" s="176"/>
      <c r="K33" s="176"/>
    </row>
    <row r="34" spans="1:11" x14ac:dyDescent="0.3">
      <c r="A34" s="200" t="s">
        <v>290</v>
      </c>
      <c r="B34" s="201"/>
      <c r="C34" s="177"/>
      <c r="D34" s="177"/>
      <c r="E34" s="177"/>
      <c r="F34" s="177"/>
      <c r="G34" s="176"/>
      <c r="H34" s="176"/>
      <c r="I34" s="176"/>
      <c r="J34" s="176"/>
      <c r="K34" s="176"/>
    </row>
    <row r="35" spans="1:11" x14ac:dyDescent="0.3">
      <c r="A35" s="178" t="s">
        <v>165</v>
      </c>
      <c r="B35" s="179">
        <v>3.04</v>
      </c>
      <c r="C35" s="179">
        <v>2.83</v>
      </c>
      <c r="D35" s="179">
        <v>3.23</v>
      </c>
      <c r="E35" s="179">
        <v>4.29</v>
      </c>
      <c r="F35" s="179">
        <v>3.54</v>
      </c>
      <c r="G35" s="176"/>
      <c r="H35" s="176"/>
      <c r="I35" s="176"/>
      <c r="J35" s="176"/>
      <c r="K35" s="176"/>
    </row>
    <row r="36" spans="1:11" x14ac:dyDescent="0.3">
      <c r="A36" s="178" t="s">
        <v>291</v>
      </c>
      <c r="B36" s="179">
        <v>12.92</v>
      </c>
      <c r="C36" s="179">
        <v>15.42</v>
      </c>
      <c r="D36" s="179">
        <v>20.68</v>
      </c>
      <c r="E36" s="179">
        <v>17.45</v>
      </c>
      <c r="F36" s="179">
        <v>8.67</v>
      </c>
      <c r="G36" s="176"/>
      <c r="H36" s="176"/>
      <c r="I36" s="176"/>
      <c r="J36" s="176"/>
      <c r="K36" s="176"/>
    </row>
    <row r="37" spans="1:11" x14ac:dyDescent="0.3">
      <c r="A37" s="178" t="s">
        <v>292</v>
      </c>
      <c r="B37" s="179">
        <v>1.2</v>
      </c>
      <c r="C37" s="179">
        <v>1.24</v>
      </c>
      <c r="D37" s="179">
        <v>1.34</v>
      </c>
      <c r="E37" s="179">
        <v>1.58</v>
      </c>
      <c r="F37" s="179">
        <v>0.87</v>
      </c>
      <c r="G37" s="176"/>
      <c r="H37" s="176"/>
      <c r="I37" s="176"/>
      <c r="J37" s="176"/>
      <c r="K37" s="176"/>
    </row>
    <row r="38" spans="1:11" x14ac:dyDescent="0.3">
      <c r="A38" s="178" t="s">
        <v>293</v>
      </c>
      <c r="B38" s="179">
        <v>0.77</v>
      </c>
      <c r="C38" s="179">
        <v>0.82</v>
      </c>
      <c r="D38" s="179">
        <v>0.84</v>
      </c>
      <c r="E38" s="179">
        <v>0.86</v>
      </c>
      <c r="F38" s="179">
        <v>0.62</v>
      </c>
      <c r="G38" s="176"/>
      <c r="H38" s="176"/>
      <c r="I38" s="176"/>
      <c r="J38" s="176"/>
      <c r="K38" s="176"/>
    </row>
    <row r="39" spans="1:11" x14ac:dyDescent="0.3">
      <c r="A39" s="178" t="s">
        <v>294</v>
      </c>
      <c r="B39" s="179">
        <v>1.22</v>
      </c>
      <c r="C39" s="179">
        <v>1.27</v>
      </c>
      <c r="D39" s="179">
        <v>1.37</v>
      </c>
      <c r="E39" s="179">
        <v>1.62</v>
      </c>
      <c r="F39" s="179">
        <v>0.89</v>
      </c>
      <c r="G39" s="176"/>
      <c r="H39" s="176"/>
      <c r="I39" s="176"/>
      <c r="J39" s="176"/>
      <c r="K39" s="176"/>
    </row>
    <row r="40" spans="1:11" x14ac:dyDescent="0.3">
      <c r="A40" s="178" t="s">
        <v>178</v>
      </c>
      <c r="B40" s="179">
        <v>1.2</v>
      </c>
      <c r="C40" s="179">
        <v>1.3</v>
      </c>
      <c r="D40" s="179">
        <v>1.46</v>
      </c>
      <c r="E40" s="179">
        <v>1.43</v>
      </c>
      <c r="F40" s="179">
        <v>0.81</v>
      </c>
      <c r="G40" s="176"/>
      <c r="H40" s="176"/>
      <c r="I40" s="176"/>
      <c r="J40" s="176"/>
      <c r="K40" s="176"/>
    </row>
    <row r="41" spans="1:11" x14ac:dyDescent="0.3">
      <c r="A41" s="178"/>
      <c r="B41" s="179"/>
      <c r="C41" s="179"/>
      <c r="D41" s="179"/>
      <c r="E41" s="179"/>
      <c r="F41" s="179"/>
      <c r="G41" s="176"/>
      <c r="H41" s="176"/>
      <c r="I41" s="176"/>
      <c r="J41" s="176"/>
      <c r="K41" s="176"/>
    </row>
    <row r="42" spans="1:11" x14ac:dyDescent="0.3">
      <c r="A42" s="178" t="s">
        <v>295</v>
      </c>
      <c r="B42" s="179" t="s">
        <v>264</v>
      </c>
      <c r="C42" s="179" t="s">
        <v>264</v>
      </c>
      <c r="D42" s="179" t="s">
        <v>264</v>
      </c>
      <c r="E42" s="179" t="s">
        <v>264</v>
      </c>
      <c r="F42" s="179" t="s">
        <v>264</v>
      </c>
      <c r="G42" s="176"/>
      <c r="H42" s="176"/>
      <c r="I42" s="176"/>
      <c r="J42" s="176"/>
      <c r="K42" s="176"/>
    </row>
    <row r="43" spans="1:11" x14ac:dyDescent="0.3">
      <c r="A43" s="178" t="s">
        <v>296</v>
      </c>
      <c r="B43" s="179" t="s">
        <v>264</v>
      </c>
      <c r="C43" s="179" t="s">
        <v>264</v>
      </c>
      <c r="D43" s="179" t="s">
        <v>264</v>
      </c>
      <c r="E43" s="179" t="s">
        <v>264</v>
      </c>
      <c r="F43" s="179" t="s">
        <v>264</v>
      </c>
      <c r="G43" s="176"/>
      <c r="H43" s="176"/>
      <c r="I43" s="176"/>
      <c r="J43" s="176"/>
      <c r="K43" s="176"/>
    </row>
    <row r="44" spans="1:11" ht="31.2" x14ac:dyDescent="0.3">
      <c r="A44" s="178" t="s">
        <v>297</v>
      </c>
      <c r="B44" s="179">
        <v>7.37</v>
      </c>
      <c r="C44" s="179">
        <v>1.35</v>
      </c>
      <c r="D44" s="179">
        <v>-18.72</v>
      </c>
      <c r="E44" s="179">
        <v>-59.82</v>
      </c>
      <c r="F44" s="179">
        <v>-52.63</v>
      </c>
      <c r="G44" s="176"/>
      <c r="H44" s="176"/>
      <c r="I44" s="176"/>
      <c r="J44" s="176"/>
      <c r="K44" s="176"/>
    </row>
    <row r="45" spans="1:11" x14ac:dyDescent="0.3">
      <c r="A45" s="200" t="s">
        <v>298</v>
      </c>
      <c r="B45" s="201"/>
      <c r="C45" s="177"/>
      <c r="D45" s="177"/>
      <c r="E45" s="177"/>
      <c r="F45" s="177"/>
      <c r="G45" s="176"/>
      <c r="H45" s="176"/>
      <c r="I45" s="176"/>
      <c r="J45" s="176"/>
      <c r="K45" s="176"/>
    </row>
    <row r="46" spans="1:11" x14ac:dyDescent="0.3">
      <c r="A46" s="178" t="s">
        <v>299</v>
      </c>
      <c r="B46" s="179">
        <v>54.5</v>
      </c>
      <c r="C46" s="179">
        <v>59.57</v>
      </c>
      <c r="D46" s="179">
        <v>64.010000000000005</v>
      </c>
      <c r="E46" s="179">
        <v>45.14</v>
      </c>
      <c r="F46" s="179">
        <v>38.14</v>
      </c>
      <c r="G46" s="176"/>
      <c r="H46" s="176"/>
      <c r="I46" s="176"/>
      <c r="J46" s="176"/>
      <c r="K46" s="176"/>
    </row>
    <row r="47" spans="1:11" ht="31.2" x14ac:dyDescent="0.3">
      <c r="A47" s="178" t="s">
        <v>300</v>
      </c>
      <c r="B47" s="179" t="s">
        <v>264</v>
      </c>
      <c r="C47" s="179" t="s">
        <v>264</v>
      </c>
      <c r="D47" s="179" t="s">
        <v>264</v>
      </c>
      <c r="E47" s="179" t="s">
        <v>264</v>
      </c>
      <c r="F47" s="179" t="s">
        <v>264</v>
      </c>
      <c r="G47" s="176"/>
      <c r="H47" s="176"/>
      <c r="I47" s="176"/>
      <c r="J47" s="176"/>
      <c r="K47" s="176"/>
    </row>
    <row r="48" spans="1:11" ht="31.2" x14ac:dyDescent="0.3">
      <c r="A48" s="178" t="s">
        <v>301</v>
      </c>
      <c r="B48" s="179" t="s">
        <v>264</v>
      </c>
      <c r="C48" s="179" t="s">
        <v>264</v>
      </c>
      <c r="D48" s="179" t="s">
        <v>264</v>
      </c>
      <c r="E48" s="179" t="s">
        <v>264</v>
      </c>
      <c r="F48" s="179" t="s">
        <v>264</v>
      </c>
      <c r="G48" s="176"/>
      <c r="H48" s="176"/>
      <c r="I48" s="176"/>
      <c r="J48" s="176"/>
      <c r="K48" s="176"/>
    </row>
    <row r="49" spans="1:11" ht="31.2" x14ac:dyDescent="0.3">
      <c r="A49" s="178" t="s">
        <v>302</v>
      </c>
      <c r="B49" s="179">
        <v>0.48</v>
      </c>
      <c r="C49" s="179">
        <v>1.6</v>
      </c>
      <c r="D49" s="179">
        <v>2.52</v>
      </c>
      <c r="E49" s="179">
        <v>6.75</v>
      </c>
      <c r="F49" s="179">
        <v>8.84</v>
      </c>
      <c r="G49" s="176"/>
      <c r="H49" s="176"/>
      <c r="I49" s="176"/>
      <c r="J49" s="176"/>
      <c r="K49" s="176"/>
    </row>
    <row r="50" spans="1:11" x14ac:dyDescent="0.3">
      <c r="A50" s="200" t="s">
        <v>303</v>
      </c>
      <c r="B50" s="201"/>
      <c r="C50" s="177"/>
      <c r="D50" s="177"/>
      <c r="E50" s="177"/>
      <c r="F50" s="177"/>
      <c r="G50" s="176"/>
      <c r="H50" s="176"/>
      <c r="I50" s="176"/>
      <c r="J50" s="176"/>
      <c r="K50" s="176"/>
    </row>
    <row r="51" spans="1:11" x14ac:dyDescent="0.3">
      <c r="A51" s="178" t="s">
        <v>304</v>
      </c>
      <c r="B51" s="179">
        <v>19.22</v>
      </c>
      <c r="C51" s="179">
        <v>22.66</v>
      </c>
      <c r="D51" s="179">
        <v>70.53</v>
      </c>
      <c r="E51" s="179">
        <v>28.53</v>
      </c>
      <c r="F51" s="179" t="s">
        <v>264</v>
      </c>
      <c r="G51" s="176"/>
      <c r="H51" s="176"/>
      <c r="I51" s="176"/>
      <c r="J51" s="176"/>
      <c r="K51" s="176"/>
    </row>
    <row r="52" spans="1:11" ht="31.2" x14ac:dyDescent="0.3">
      <c r="A52" s="178" t="s">
        <v>305</v>
      </c>
      <c r="B52" s="179">
        <v>5.29</v>
      </c>
      <c r="C52" s="179">
        <v>7.73</v>
      </c>
      <c r="D52" s="179">
        <v>19.55</v>
      </c>
      <c r="E52" s="179">
        <v>21.04</v>
      </c>
      <c r="F52" s="179" t="s">
        <v>264</v>
      </c>
      <c r="G52" s="176"/>
      <c r="H52" s="176"/>
      <c r="I52" s="176"/>
      <c r="J52" s="176"/>
      <c r="K52" s="176"/>
    </row>
    <row r="53" spans="1:11" x14ac:dyDescent="0.3">
      <c r="A53" s="178" t="s">
        <v>306</v>
      </c>
      <c r="B53" s="179">
        <v>83.22</v>
      </c>
      <c r="C53" s="179">
        <v>82.67</v>
      </c>
      <c r="D53" s="179">
        <v>18.399999999999999</v>
      </c>
      <c r="E53" s="179">
        <v>72.290000000000006</v>
      </c>
      <c r="F53" s="179">
        <v>100</v>
      </c>
      <c r="G53" s="176"/>
      <c r="H53" s="176"/>
      <c r="I53" s="176"/>
      <c r="J53" s="176"/>
      <c r="K53" s="176"/>
    </row>
    <row r="54" spans="1:11" x14ac:dyDescent="0.3">
      <c r="A54" s="178" t="s">
        <v>307</v>
      </c>
      <c r="B54" s="179">
        <v>94.91</v>
      </c>
      <c r="C54" s="179">
        <v>93.01</v>
      </c>
      <c r="D54" s="179">
        <v>79.69</v>
      </c>
      <c r="E54" s="179">
        <v>79.41</v>
      </c>
      <c r="F54" s="179">
        <v>100</v>
      </c>
      <c r="G54" s="176"/>
      <c r="H54" s="176"/>
      <c r="I54" s="176"/>
      <c r="J54" s="176"/>
      <c r="K54" s="176"/>
    </row>
    <row r="55" spans="1:11" x14ac:dyDescent="0.3">
      <c r="A55" s="178" t="s">
        <v>308</v>
      </c>
      <c r="B55" s="179">
        <v>3.68</v>
      </c>
      <c r="C55" s="179">
        <v>3.46</v>
      </c>
      <c r="D55" s="179">
        <v>3.88</v>
      </c>
      <c r="E55" s="179">
        <v>0.8</v>
      </c>
      <c r="F55" s="179">
        <v>4.51</v>
      </c>
      <c r="G55" s="176"/>
      <c r="H55" s="176"/>
      <c r="I55" s="176"/>
      <c r="J55" s="176"/>
      <c r="K55" s="176"/>
    </row>
  </sheetData>
  <mergeCells count="8">
    <mergeCell ref="A45:B45"/>
    <mergeCell ref="A50:B50"/>
    <mergeCell ref="A2:K2"/>
    <mergeCell ref="A3:B3"/>
    <mergeCell ref="A10:B10"/>
    <mergeCell ref="A24:B24"/>
    <mergeCell ref="A29:B29"/>
    <mergeCell ref="A34:B34"/>
  </mergeCells>
  <hyperlinks>
    <hyperlink ref="G3" r:id="rId1" location="sai" xr:uid="{A9F413DB-F4A3-4BD8-807D-A5B38FC80665}"/>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8254-9C9E-2043-B241-0A56BDB0D42B}">
  <dimension ref="A1:F112"/>
  <sheetViews>
    <sheetView zoomScale="159" zoomScaleNormal="84" workbookViewId="0">
      <pane ySplit="3" topLeftCell="A95" activePane="bottomLeft" state="frozen"/>
      <selection pane="bottomLeft" activeCell="F106" sqref="F106"/>
    </sheetView>
  </sheetViews>
  <sheetFormatPr defaultColWidth="10.796875" defaultRowHeight="15.6" outlineLevelRow="1" x14ac:dyDescent="0.3"/>
  <cols>
    <col min="1" max="1" width="10" style="35" customWidth="1"/>
    <col min="2" max="2" width="64.796875" style="36" bestFit="1" customWidth="1"/>
    <col min="3" max="3" width="14.796875" style="36" customWidth="1"/>
    <col min="4" max="4" width="14.796875" style="37" customWidth="1"/>
    <col min="5" max="5" width="14.5" style="37" customWidth="1"/>
    <col min="6" max="6" width="14.69921875" style="37" customWidth="1"/>
    <col min="7" max="16384" width="10.796875" style="35"/>
  </cols>
  <sheetData>
    <row r="1" spans="1:6" ht="67.95" customHeight="1" thickBot="1" x14ac:dyDescent="0.35">
      <c r="A1" s="206" t="s">
        <v>210</v>
      </c>
      <c r="B1" s="206"/>
      <c r="C1" s="206"/>
      <c r="D1" s="206"/>
      <c r="E1" s="206"/>
      <c r="F1" s="206"/>
    </row>
    <row r="2" spans="1:6" ht="16.8" thickTop="1" thickBot="1" x14ac:dyDescent="0.35"/>
    <row r="3" spans="1:6" ht="25.05" customHeight="1" thickTop="1" thickBot="1" x14ac:dyDescent="0.35">
      <c r="A3" s="142" t="s">
        <v>10</v>
      </c>
      <c r="B3" s="143" t="s">
        <v>11</v>
      </c>
      <c r="C3" s="144" t="s">
        <v>166</v>
      </c>
      <c r="D3" s="144" t="s">
        <v>3</v>
      </c>
      <c r="E3" s="144" t="s">
        <v>4</v>
      </c>
      <c r="F3" s="145" t="s">
        <v>5</v>
      </c>
    </row>
    <row r="4" spans="1:6" ht="30" customHeight="1" x14ac:dyDescent="0.3">
      <c r="A4" s="207" t="s">
        <v>8</v>
      </c>
      <c r="B4" s="208"/>
      <c r="C4" s="208"/>
      <c r="D4" s="208"/>
      <c r="E4" s="208"/>
      <c r="F4" s="209"/>
    </row>
    <row r="5" spans="1:6" x14ac:dyDescent="0.3">
      <c r="A5" s="146" t="s">
        <v>12</v>
      </c>
      <c r="B5" s="147" t="s">
        <v>13</v>
      </c>
      <c r="C5" s="147"/>
      <c r="D5" s="148"/>
      <c r="E5" s="148"/>
      <c r="F5" s="149"/>
    </row>
    <row r="6" spans="1:6" outlineLevel="1" x14ac:dyDescent="0.3">
      <c r="A6" s="101" t="s">
        <v>14</v>
      </c>
      <c r="B6" s="35" t="s">
        <v>15</v>
      </c>
      <c r="C6" s="35">
        <v>40975.99</v>
      </c>
      <c r="D6" s="35">
        <v>39511.449999999997</v>
      </c>
      <c r="E6" s="5">
        <v>38617.25</v>
      </c>
      <c r="F6" s="17">
        <v>38900.49</v>
      </c>
    </row>
    <row r="7" spans="1:6" outlineLevel="1" x14ac:dyDescent="0.3">
      <c r="A7" s="101" t="s">
        <v>16</v>
      </c>
      <c r="B7" s="35" t="s">
        <v>17</v>
      </c>
      <c r="C7" s="35">
        <v>731.43</v>
      </c>
      <c r="D7" s="35">
        <v>2090.58</v>
      </c>
      <c r="E7" s="5">
        <v>3780.05</v>
      </c>
      <c r="F7" s="17">
        <v>5009.78</v>
      </c>
    </row>
    <row r="8" spans="1:6" outlineLevel="1" x14ac:dyDescent="0.3">
      <c r="A8" s="101" t="s">
        <v>18</v>
      </c>
      <c r="B8" s="35" t="s">
        <v>19</v>
      </c>
      <c r="C8" s="35">
        <v>0</v>
      </c>
      <c r="D8" s="35">
        <v>0</v>
      </c>
      <c r="E8" s="35">
        <v>0</v>
      </c>
      <c r="F8" s="150">
        <v>0</v>
      </c>
    </row>
    <row r="9" spans="1:6" outlineLevel="1" x14ac:dyDescent="0.3">
      <c r="A9" s="101" t="s">
        <v>20</v>
      </c>
      <c r="B9" s="35" t="s">
        <v>21</v>
      </c>
      <c r="C9" s="35">
        <v>0</v>
      </c>
      <c r="D9" s="35">
        <v>0</v>
      </c>
      <c r="E9" s="35">
        <v>0</v>
      </c>
      <c r="F9" s="150">
        <v>0</v>
      </c>
    </row>
    <row r="10" spans="1:6" outlineLevel="1" x14ac:dyDescent="0.3">
      <c r="A10" s="101" t="s">
        <v>22</v>
      </c>
      <c r="B10" s="35" t="s">
        <v>23</v>
      </c>
      <c r="C10" s="35">
        <v>382.27</v>
      </c>
      <c r="D10" s="35">
        <v>572.04</v>
      </c>
      <c r="E10" s="1">
        <v>855.78</v>
      </c>
      <c r="F10" s="18">
        <v>936.82</v>
      </c>
    </row>
    <row r="11" spans="1:6" outlineLevel="1" x14ac:dyDescent="0.3">
      <c r="A11" s="101" t="s">
        <v>24</v>
      </c>
      <c r="B11" s="35" t="s">
        <v>25</v>
      </c>
      <c r="C11" s="35">
        <v>28.15</v>
      </c>
      <c r="D11" s="35">
        <v>28.15</v>
      </c>
      <c r="E11" s="1">
        <v>22.16</v>
      </c>
      <c r="F11" s="18">
        <v>464.98</v>
      </c>
    </row>
    <row r="12" spans="1:6" ht="16.2" outlineLevel="1" x14ac:dyDescent="0.35">
      <c r="A12" s="168" t="s">
        <v>26</v>
      </c>
      <c r="B12" s="167" t="s">
        <v>27</v>
      </c>
      <c r="C12" s="35"/>
      <c r="D12" s="35"/>
      <c r="E12" s="35"/>
      <c r="F12" s="150"/>
    </row>
    <row r="13" spans="1:6" outlineLevel="1" x14ac:dyDescent="0.3">
      <c r="A13" s="101" t="s">
        <v>28</v>
      </c>
      <c r="B13" s="35" t="s">
        <v>29</v>
      </c>
      <c r="C13" s="35">
        <v>2041.47</v>
      </c>
      <c r="D13" s="35">
        <v>4931.55</v>
      </c>
      <c r="E13" s="5">
        <v>6892.17</v>
      </c>
      <c r="F13" s="17">
        <v>8554.51</v>
      </c>
    </row>
    <row r="14" spans="1:6" outlineLevel="1" x14ac:dyDescent="0.3">
      <c r="A14" s="101" t="s">
        <v>30</v>
      </c>
      <c r="B14" s="35" t="s">
        <v>31</v>
      </c>
      <c r="C14" s="35">
        <v>7842.35</v>
      </c>
      <c r="D14" s="35">
        <v>5446.69</v>
      </c>
      <c r="E14" s="5">
        <v>5523.34</v>
      </c>
      <c r="F14" s="17">
        <v>5162.01</v>
      </c>
    </row>
    <row r="15" spans="1:6" outlineLevel="1" x14ac:dyDescent="0.3">
      <c r="A15" s="101" t="s">
        <v>32</v>
      </c>
      <c r="B15" s="35" t="s">
        <v>33</v>
      </c>
      <c r="C15" s="35">
        <v>0</v>
      </c>
      <c r="D15" s="35">
        <v>0</v>
      </c>
      <c r="E15" s="35">
        <v>0</v>
      </c>
      <c r="F15" s="150">
        <v>0</v>
      </c>
    </row>
    <row r="16" spans="1:6" outlineLevel="1" x14ac:dyDescent="0.3">
      <c r="A16" s="101" t="s">
        <v>34</v>
      </c>
      <c r="B16" s="35" t="s">
        <v>35</v>
      </c>
      <c r="C16" s="35">
        <v>1033.21</v>
      </c>
      <c r="D16" s="35">
        <v>426.57</v>
      </c>
      <c r="E16" s="1">
        <v>797.91</v>
      </c>
      <c r="F16" s="18">
        <v>672.16</v>
      </c>
    </row>
    <row r="17" spans="1:6" outlineLevel="1" x14ac:dyDescent="0.3">
      <c r="A17" s="101" t="s">
        <v>36</v>
      </c>
      <c r="B17" s="35" t="s">
        <v>37</v>
      </c>
      <c r="C17" s="35">
        <v>0</v>
      </c>
      <c r="D17" s="35">
        <v>0</v>
      </c>
      <c r="E17" s="35">
        <v>0</v>
      </c>
      <c r="F17" s="150">
        <v>0</v>
      </c>
    </row>
    <row r="18" spans="1:6" outlineLevel="1" x14ac:dyDescent="0.3">
      <c r="A18" s="101" t="s">
        <v>28</v>
      </c>
      <c r="B18" s="35" t="s">
        <v>38</v>
      </c>
      <c r="C18" s="35">
        <v>399.11</v>
      </c>
      <c r="D18" s="35">
        <v>538.77</v>
      </c>
      <c r="E18" s="1">
        <v>607.95000000000005</v>
      </c>
      <c r="F18" s="18">
        <v>575.94000000000005</v>
      </c>
    </row>
    <row r="19" spans="1:6" x14ac:dyDescent="0.3">
      <c r="A19" s="151"/>
      <c r="B19" s="148" t="s">
        <v>39</v>
      </c>
      <c r="C19" s="148">
        <f>SUM(C6:C18)</f>
        <v>53433.979999999996</v>
      </c>
      <c r="D19" s="152">
        <f>SUM(D6:D18)</f>
        <v>53545.8</v>
      </c>
      <c r="E19" s="152">
        <f t="shared" ref="E19:F19" si="0">SUM(E6:E18)</f>
        <v>57096.61</v>
      </c>
      <c r="F19" s="153">
        <f t="shared" si="0"/>
        <v>60276.69000000001</v>
      </c>
    </row>
    <row r="20" spans="1:6" x14ac:dyDescent="0.3">
      <c r="A20" s="146" t="s">
        <v>40</v>
      </c>
      <c r="B20" s="147" t="s">
        <v>41</v>
      </c>
      <c r="C20" s="147"/>
      <c r="D20" s="148"/>
      <c r="E20" s="148"/>
      <c r="F20" s="149"/>
    </row>
    <row r="21" spans="1:6" outlineLevel="1" x14ac:dyDescent="0.3">
      <c r="A21" s="101" t="s">
        <v>14</v>
      </c>
      <c r="B21" s="35" t="s">
        <v>42</v>
      </c>
      <c r="C21" s="35">
        <v>7050.51</v>
      </c>
      <c r="D21" s="35">
        <v>5463.09</v>
      </c>
      <c r="E21" s="5">
        <v>5976.98</v>
      </c>
      <c r="F21" s="17">
        <v>4750.91</v>
      </c>
    </row>
    <row r="22" spans="1:6" outlineLevel="1" x14ac:dyDescent="0.3">
      <c r="A22" s="101" t="s">
        <v>16</v>
      </c>
      <c r="B22" s="35" t="s">
        <v>211</v>
      </c>
      <c r="C22" s="35">
        <v>3947.09</v>
      </c>
      <c r="D22" s="35">
        <v>0</v>
      </c>
      <c r="E22" s="35">
        <v>0</v>
      </c>
      <c r="F22" s="150">
        <v>0</v>
      </c>
    </row>
    <row r="23" spans="1:6" ht="16.2" outlineLevel="1" x14ac:dyDescent="0.35">
      <c r="A23" s="168" t="s">
        <v>18</v>
      </c>
      <c r="B23" s="167" t="s">
        <v>27</v>
      </c>
      <c r="C23" s="35"/>
      <c r="D23" s="35"/>
      <c r="E23" s="35"/>
      <c r="F23" s="150"/>
    </row>
    <row r="24" spans="1:6" outlineLevel="1" x14ac:dyDescent="0.3">
      <c r="A24" s="101" t="s">
        <v>28</v>
      </c>
      <c r="B24" s="35" t="s">
        <v>29</v>
      </c>
      <c r="C24" s="35">
        <v>327.42</v>
      </c>
      <c r="D24" s="35">
        <v>761.13</v>
      </c>
      <c r="E24" s="1">
        <v>638.70000000000005</v>
      </c>
      <c r="F24" s="17">
        <v>1314.83</v>
      </c>
    </row>
    <row r="25" spans="1:6" outlineLevel="1" x14ac:dyDescent="0.3">
      <c r="A25" s="101" t="s">
        <v>30</v>
      </c>
      <c r="B25" s="35" t="s">
        <v>43</v>
      </c>
      <c r="C25" s="35">
        <v>1210.47</v>
      </c>
      <c r="D25" s="35">
        <v>1130.5</v>
      </c>
      <c r="E25" s="5">
        <v>2191.48</v>
      </c>
      <c r="F25" s="17">
        <v>1324.06</v>
      </c>
    </row>
    <row r="26" spans="1:6" outlineLevel="1" x14ac:dyDescent="0.3">
      <c r="A26" s="101" t="s">
        <v>32</v>
      </c>
      <c r="B26" s="35" t="s">
        <v>44</v>
      </c>
      <c r="C26" s="35">
        <v>2903.29</v>
      </c>
      <c r="D26" s="35">
        <v>3626.06</v>
      </c>
      <c r="E26" s="5">
        <v>2910.43</v>
      </c>
      <c r="F26" s="17">
        <v>2073.02</v>
      </c>
    </row>
    <row r="27" spans="1:6" outlineLevel="1" x14ac:dyDescent="0.3">
      <c r="A27" s="101" t="s">
        <v>34</v>
      </c>
      <c r="B27" s="35" t="s">
        <v>45</v>
      </c>
      <c r="C27" s="35">
        <v>152.53</v>
      </c>
      <c r="D27" s="35">
        <v>396.9</v>
      </c>
      <c r="E27" s="1">
        <v>579.02</v>
      </c>
      <c r="F27" s="17">
        <v>1491.63</v>
      </c>
    </row>
    <row r="28" spans="1:6" outlineLevel="1" x14ac:dyDescent="0.3">
      <c r="A28" s="101" t="s">
        <v>46</v>
      </c>
      <c r="B28" s="35" t="s">
        <v>31</v>
      </c>
      <c r="C28" s="35">
        <v>3973.7</v>
      </c>
      <c r="D28" s="35">
        <v>50.19</v>
      </c>
      <c r="E28" s="1">
        <v>26.06</v>
      </c>
      <c r="F28" s="18">
        <v>46.46</v>
      </c>
    </row>
    <row r="29" spans="1:6" outlineLevel="1" x14ac:dyDescent="0.3">
      <c r="A29" s="101" t="s">
        <v>47</v>
      </c>
      <c r="B29" s="35" t="s">
        <v>33</v>
      </c>
      <c r="C29" s="35">
        <v>0</v>
      </c>
      <c r="D29" s="35">
        <v>0</v>
      </c>
      <c r="E29" s="35">
        <v>0</v>
      </c>
      <c r="F29" s="150">
        <v>0</v>
      </c>
    </row>
    <row r="30" spans="1:6" outlineLevel="1" x14ac:dyDescent="0.3">
      <c r="A30" s="101" t="s">
        <v>48</v>
      </c>
      <c r="B30" s="35" t="s">
        <v>35</v>
      </c>
      <c r="C30" s="35">
        <v>459.26</v>
      </c>
      <c r="D30" s="35">
        <v>476.12</v>
      </c>
      <c r="E30" s="1">
        <v>146.30000000000001</v>
      </c>
      <c r="F30" s="18">
        <v>271.25</v>
      </c>
    </row>
    <row r="31" spans="1:6" outlineLevel="1" x14ac:dyDescent="0.3">
      <c r="A31" s="101" t="s">
        <v>20</v>
      </c>
      <c r="B31" s="35" t="s">
        <v>218</v>
      </c>
      <c r="C31" s="35">
        <v>0</v>
      </c>
      <c r="D31" s="35">
        <v>0</v>
      </c>
      <c r="E31" s="1">
        <v>155.01</v>
      </c>
      <c r="F31" s="18">
        <v>37.299999999999997</v>
      </c>
    </row>
    <row r="32" spans="1:6" outlineLevel="1" x14ac:dyDescent="0.3">
      <c r="A32" s="101" t="s">
        <v>20</v>
      </c>
      <c r="B32" s="35" t="s">
        <v>38</v>
      </c>
      <c r="C32" s="35">
        <v>1684.86</v>
      </c>
      <c r="D32" s="35">
        <v>1565.3</v>
      </c>
      <c r="E32" s="5">
        <v>2284.1</v>
      </c>
      <c r="F32" s="17">
        <v>1890.4</v>
      </c>
    </row>
    <row r="33" spans="1:6" x14ac:dyDescent="0.3">
      <c r="A33" s="151"/>
      <c r="B33" s="148" t="s">
        <v>49</v>
      </c>
      <c r="C33" s="148">
        <f>SUM(C21:C32)</f>
        <v>21709.129999999997</v>
      </c>
      <c r="D33" s="152">
        <f>SUM(D21:D32)</f>
        <v>13469.29</v>
      </c>
      <c r="E33" s="152">
        <f t="shared" ref="E33:F33" si="1">SUM(E21:E32)</f>
        <v>14908.08</v>
      </c>
      <c r="F33" s="153">
        <f t="shared" si="1"/>
        <v>13199.859999999999</v>
      </c>
    </row>
    <row r="34" spans="1:6" x14ac:dyDescent="0.3">
      <c r="A34" s="154" t="s">
        <v>50</v>
      </c>
      <c r="B34" s="155" t="s">
        <v>51</v>
      </c>
      <c r="C34" s="35">
        <v>19.14</v>
      </c>
      <c r="D34" s="35">
        <v>14.54</v>
      </c>
      <c r="E34" s="1">
        <v>12.28</v>
      </c>
      <c r="F34" s="18">
        <v>12.43</v>
      </c>
    </row>
    <row r="35" spans="1:6" ht="25.05" customHeight="1" thickBot="1" x14ac:dyDescent="0.35">
      <c r="A35" s="210" t="s">
        <v>52</v>
      </c>
      <c r="B35" s="211"/>
      <c r="C35" s="156">
        <f>C19+C33+C34</f>
        <v>75162.249999999985</v>
      </c>
      <c r="D35" s="156">
        <f>D19+D33+D34</f>
        <v>67029.62999999999</v>
      </c>
      <c r="E35" s="156">
        <f t="shared" ref="E35:F35" si="2">E19+E33+E34</f>
        <v>72016.97</v>
      </c>
      <c r="F35" s="157">
        <f t="shared" si="2"/>
        <v>73488.98</v>
      </c>
    </row>
    <row r="36" spans="1:6" ht="30" customHeight="1" x14ac:dyDescent="0.3">
      <c r="A36" s="212" t="s">
        <v>9</v>
      </c>
      <c r="B36" s="213"/>
      <c r="C36" s="213"/>
      <c r="D36" s="213"/>
      <c r="E36" s="213"/>
      <c r="F36" s="214"/>
    </row>
    <row r="37" spans="1:6" x14ac:dyDescent="0.3">
      <c r="A37" s="146" t="s">
        <v>53</v>
      </c>
      <c r="B37" s="147" t="s">
        <v>54</v>
      </c>
      <c r="C37" s="147"/>
      <c r="D37" s="158"/>
      <c r="E37" s="158"/>
      <c r="F37" s="159"/>
    </row>
    <row r="38" spans="1:6" outlineLevel="1" x14ac:dyDescent="0.3">
      <c r="A38" s="101" t="s">
        <v>14</v>
      </c>
      <c r="B38" s="35" t="s">
        <v>55</v>
      </c>
      <c r="C38" s="35">
        <v>101.07</v>
      </c>
      <c r="D38" s="35">
        <v>100.5</v>
      </c>
      <c r="E38" s="1">
        <v>100.24</v>
      </c>
      <c r="F38" s="18">
        <v>101.18</v>
      </c>
    </row>
    <row r="39" spans="1:6" outlineLevel="1" x14ac:dyDescent="0.3">
      <c r="A39" s="101" t="s">
        <v>16</v>
      </c>
      <c r="B39" s="35" t="s">
        <v>56</v>
      </c>
      <c r="C39" s="35">
        <v>40259.410000000003</v>
      </c>
      <c r="D39" s="35">
        <v>40456.35</v>
      </c>
      <c r="E39" s="5">
        <v>45393.36</v>
      </c>
      <c r="F39" s="17">
        <v>49661.69</v>
      </c>
    </row>
    <row r="40" spans="1:6" x14ac:dyDescent="0.3">
      <c r="A40" s="151"/>
      <c r="B40" s="148" t="s">
        <v>57</v>
      </c>
      <c r="C40" s="148">
        <f>SUM(C38:C39)</f>
        <v>40360.480000000003</v>
      </c>
      <c r="D40" s="148">
        <f>SUM(D38:D39)</f>
        <v>40556.85</v>
      </c>
      <c r="E40" s="148">
        <f t="shared" ref="E40:F40" si="3">SUM(E38:E39)</f>
        <v>45493.599999999999</v>
      </c>
      <c r="F40" s="149">
        <f t="shared" si="3"/>
        <v>49762.87</v>
      </c>
    </row>
    <row r="41" spans="1:6" x14ac:dyDescent="0.3">
      <c r="A41" s="146" t="s">
        <v>58</v>
      </c>
      <c r="B41" s="147" t="s">
        <v>59</v>
      </c>
      <c r="C41" s="147"/>
      <c r="D41" s="158"/>
      <c r="E41" s="158"/>
      <c r="F41" s="159"/>
    </row>
    <row r="42" spans="1:6" ht="16.2" outlineLevel="1" x14ac:dyDescent="0.35">
      <c r="A42" s="168" t="s">
        <v>14</v>
      </c>
      <c r="B42" s="167" t="s">
        <v>60</v>
      </c>
      <c r="C42" s="170"/>
      <c r="D42" s="35"/>
      <c r="E42" s="35"/>
      <c r="F42" s="150"/>
    </row>
    <row r="43" spans="1:6" outlineLevel="1" x14ac:dyDescent="0.3">
      <c r="A43" s="101" t="s">
        <v>28</v>
      </c>
      <c r="B43" s="35" t="s">
        <v>61</v>
      </c>
      <c r="C43" s="35">
        <v>8364.9500000000007</v>
      </c>
      <c r="D43" s="35">
        <v>7081.75</v>
      </c>
      <c r="E43" s="5">
        <v>6156.26</v>
      </c>
      <c r="F43" s="17">
        <v>4894.2299999999996</v>
      </c>
    </row>
    <row r="44" spans="1:6" outlineLevel="1" x14ac:dyDescent="0.3">
      <c r="A44" s="101" t="s">
        <v>30</v>
      </c>
      <c r="B44" s="35" t="s">
        <v>62</v>
      </c>
      <c r="C44" s="35">
        <v>582.80999999999995</v>
      </c>
      <c r="D44" s="35">
        <v>572.72</v>
      </c>
      <c r="E44" s="1">
        <v>561.53</v>
      </c>
      <c r="F44" s="18">
        <v>550.24</v>
      </c>
    </row>
    <row r="45" spans="1:6" outlineLevel="1" x14ac:dyDescent="0.3">
      <c r="A45" s="101" t="s">
        <v>32</v>
      </c>
      <c r="B45" s="35" t="s">
        <v>63</v>
      </c>
      <c r="C45" s="35">
        <v>0</v>
      </c>
      <c r="D45" s="35">
        <v>0</v>
      </c>
      <c r="E45" s="35">
        <v>0</v>
      </c>
      <c r="F45" s="18">
        <v>0</v>
      </c>
    </row>
    <row r="46" spans="1:6" outlineLevel="1" x14ac:dyDescent="0.3">
      <c r="A46" s="101" t="s">
        <v>34</v>
      </c>
      <c r="B46" s="35" t="s">
        <v>64</v>
      </c>
      <c r="C46" s="35">
        <v>364.49</v>
      </c>
      <c r="D46" s="35">
        <v>381.61</v>
      </c>
      <c r="E46" s="1">
        <v>125.22</v>
      </c>
      <c r="F46" s="18">
        <v>114.44</v>
      </c>
    </row>
    <row r="47" spans="1:6" outlineLevel="1" x14ac:dyDescent="0.3">
      <c r="A47" s="101" t="s">
        <v>16</v>
      </c>
      <c r="B47" s="35" t="s">
        <v>65</v>
      </c>
      <c r="C47" s="35">
        <v>138.38</v>
      </c>
      <c r="D47" s="35">
        <v>155.41</v>
      </c>
      <c r="E47" s="1">
        <v>235.31</v>
      </c>
      <c r="F47" s="18">
        <v>267.93</v>
      </c>
    </row>
    <row r="48" spans="1:6" outlineLevel="1" x14ac:dyDescent="0.3">
      <c r="A48" s="101" t="s">
        <v>18</v>
      </c>
      <c r="B48" s="35" t="s">
        <v>66</v>
      </c>
      <c r="C48" s="35">
        <v>0</v>
      </c>
      <c r="D48" s="35">
        <v>0</v>
      </c>
      <c r="E48" s="35">
        <v>0</v>
      </c>
      <c r="F48" s="150">
        <v>0</v>
      </c>
    </row>
    <row r="49" spans="1:6" outlineLevel="1" x14ac:dyDescent="0.3">
      <c r="A49" s="101" t="s">
        <v>20</v>
      </c>
      <c r="B49" s="35" t="s">
        <v>67</v>
      </c>
      <c r="C49" s="35">
        <v>0</v>
      </c>
      <c r="D49" s="35">
        <v>0</v>
      </c>
      <c r="E49" s="35">
        <v>0</v>
      </c>
      <c r="F49" s="150">
        <v>0</v>
      </c>
    </row>
    <row r="50" spans="1:6" outlineLevel="1" x14ac:dyDescent="0.3">
      <c r="A50" s="101" t="s">
        <v>22</v>
      </c>
      <c r="B50" s="35" t="s">
        <v>68</v>
      </c>
      <c r="C50" s="35">
        <v>6683.06</v>
      </c>
      <c r="D50" s="35">
        <v>3985.12</v>
      </c>
      <c r="E50" s="5">
        <v>5611.06</v>
      </c>
      <c r="F50" s="17">
        <v>5249.94</v>
      </c>
    </row>
    <row r="51" spans="1:6" outlineLevel="1" x14ac:dyDescent="0.3">
      <c r="A51" s="101" t="s">
        <v>24</v>
      </c>
      <c r="B51" s="35" t="s">
        <v>69</v>
      </c>
      <c r="C51" s="35">
        <v>2854</v>
      </c>
      <c r="D51" s="35">
        <v>0</v>
      </c>
      <c r="E51" s="35">
        <v>0</v>
      </c>
      <c r="F51" s="150">
        <v>0</v>
      </c>
    </row>
    <row r="52" spans="1:6" x14ac:dyDescent="0.3">
      <c r="A52" s="151"/>
      <c r="B52" s="148" t="s">
        <v>70</v>
      </c>
      <c r="C52" s="148">
        <f>SUM(C43:C51)</f>
        <v>18987.689999999999</v>
      </c>
      <c r="D52" s="148">
        <f>SUM(D43:D51)</f>
        <v>12176.61</v>
      </c>
      <c r="E52" s="148">
        <f t="shared" ref="E52:F52" si="4">SUM(E43:E51)</f>
        <v>12689.380000000001</v>
      </c>
      <c r="F52" s="149">
        <f t="shared" si="4"/>
        <v>11076.779999999999</v>
      </c>
    </row>
    <row r="53" spans="1:6" x14ac:dyDescent="0.3">
      <c r="A53" s="146" t="s">
        <v>71</v>
      </c>
      <c r="B53" s="147" t="s">
        <v>72</v>
      </c>
      <c r="C53" s="147"/>
      <c r="D53" s="158"/>
      <c r="E53" s="158"/>
      <c r="F53" s="159"/>
    </row>
    <row r="54" spans="1:6" outlineLevel="1" x14ac:dyDescent="0.3">
      <c r="A54" s="101" t="s">
        <v>14</v>
      </c>
      <c r="B54" s="35" t="s">
        <v>60</v>
      </c>
      <c r="C54" s="35"/>
      <c r="D54" s="35"/>
      <c r="E54" s="35"/>
      <c r="F54" s="150"/>
    </row>
    <row r="55" spans="1:6" outlineLevel="1" x14ac:dyDescent="0.3">
      <c r="A55" s="101" t="s">
        <v>28</v>
      </c>
      <c r="B55" s="35" t="s">
        <v>61</v>
      </c>
      <c r="C55" s="35">
        <v>4960.88</v>
      </c>
      <c r="D55" s="35">
        <v>4793.63</v>
      </c>
      <c r="E55" s="5">
        <v>4963.99</v>
      </c>
      <c r="F55" s="17">
        <v>2023.6</v>
      </c>
    </row>
    <row r="56" spans="1:6" outlineLevel="1" x14ac:dyDescent="0.3">
      <c r="A56" s="101" t="s">
        <v>30</v>
      </c>
      <c r="B56" s="35" t="s">
        <v>62</v>
      </c>
      <c r="C56" s="35">
        <v>9.15</v>
      </c>
      <c r="D56" s="35">
        <v>10.15</v>
      </c>
      <c r="E56" s="1">
        <v>11.27</v>
      </c>
      <c r="F56" s="18">
        <v>12.65</v>
      </c>
    </row>
    <row r="57" spans="1:6" ht="16.2" outlineLevel="1" x14ac:dyDescent="0.35">
      <c r="A57" s="168" t="s">
        <v>32</v>
      </c>
      <c r="B57" s="167" t="s">
        <v>73</v>
      </c>
      <c r="C57" s="35"/>
      <c r="D57" s="35"/>
      <c r="E57" s="35"/>
      <c r="F57" s="150"/>
    </row>
    <row r="58" spans="1:6" outlineLevel="1" x14ac:dyDescent="0.3">
      <c r="A58" s="160" t="s">
        <v>80</v>
      </c>
      <c r="B58" s="158" t="s">
        <v>74</v>
      </c>
      <c r="C58" s="35">
        <v>103.53</v>
      </c>
      <c r="D58" s="35">
        <v>125.49</v>
      </c>
      <c r="E58" s="1">
        <v>152.34</v>
      </c>
      <c r="F58" s="18">
        <v>139.30000000000001</v>
      </c>
    </row>
    <row r="59" spans="1:6" outlineLevel="1" x14ac:dyDescent="0.3">
      <c r="A59" s="160" t="s">
        <v>81</v>
      </c>
      <c r="B59" s="158" t="s">
        <v>75</v>
      </c>
      <c r="C59" s="35">
        <v>5186.95</v>
      </c>
      <c r="D59" s="35">
        <v>4335.01</v>
      </c>
      <c r="E59" s="5">
        <v>4117.2700000000004</v>
      </c>
      <c r="F59" s="17">
        <v>4939.28</v>
      </c>
    </row>
    <row r="60" spans="1:6" outlineLevel="1" x14ac:dyDescent="0.3">
      <c r="A60" s="101" t="s">
        <v>34</v>
      </c>
      <c r="B60" s="35" t="s">
        <v>63</v>
      </c>
      <c r="C60" s="35">
        <v>0</v>
      </c>
      <c r="D60" s="35">
        <v>0</v>
      </c>
      <c r="E60" s="35">
        <v>0</v>
      </c>
      <c r="F60" s="150">
        <v>0</v>
      </c>
    </row>
    <row r="61" spans="1:6" outlineLevel="1" x14ac:dyDescent="0.3">
      <c r="A61" s="101" t="s">
        <v>46</v>
      </c>
      <c r="B61" s="35" t="s">
        <v>64</v>
      </c>
      <c r="C61" s="35">
        <v>1852.63</v>
      </c>
      <c r="D61" s="35">
        <v>1822.52</v>
      </c>
      <c r="E61" s="5">
        <v>2057.0300000000002</v>
      </c>
      <c r="F61" s="17">
        <v>2784.9</v>
      </c>
    </row>
    <row r="62" spans="1:6" outlineLevel="1" x14ac:dyDescent="0.3">
      <c r="A62" s="101" t="s">
        <v>16</v>
      </c>
      <c r="B62" s="35" t="s">
        <v>65</v>
      </c>
      <c r="C62" s="35">
        <v>59.28</v>
      </c>
      <c r="D62" s="35">
        <v>63.2</v>
      </c>
      <c r="E62" s="1">
        <v>58.9</v>
      </c>
      <c r="F62" s="18">
        <v>80.78</v>
      </c>
    </row>
    <row r="63" spans="1:6" outlineLevel="1" x14ac:dyDescent="0.3">
      <c r="A63" s="101" t="s">
        <v>18</v>
      </c>
      <c r="B63" s="35" t="s">
        <v>66</v>
      </c>
      <c r="C63" s="35">
        <v>0</v>
      </c>
      <c r="D63" s="35">
        <v>0</v>
      </c>
      <c r="E63" s="35">
        <v>0</v>
      </c>
      <c r="F63" s="150">
        <v>0</v>
      </c>
    </row>
    <row r="64" spans="1:6" outlineLevel="1" x14ac:dyDescent="0.3">
      <c r="A64" s="101" t="s">
        <v>20</v>
      </c>
      <c r="B64" s="35" t="s">
        <v>67</v>
      </c>
      <c r="C64" s="35">
        <v>0</v>
      </c>
      <c r="D64" s="35">
        <v>0</v>
      </c>
      <c r="E64" s="35">
        <v>0</v>
      </c>
      <c r="F64" s="150">
        <v>0</v>
      </c>
    </row>
    <row r="65" spans="1:6" outlineLevel="1" x14ac:dyDescent="0.3">
      <c r="A65" s="101" t="s">
        <v>22</v>
      </c>
      <c r="B65" s="35" t="s">
        <v>76</v>
      </c>
      <c r="C65" s="35">
        <v>129.27000000000001</v>
      </c>
      <c r="D65" s="35">
        <v>75.81</v>
      </c>
      <c r="E65" s="35">
        <v>0</v>
      </c>
      <c r="F65" s="150">
        <v>0</v>
      </c>
    </row>
    <row r="66" spans="1:6" outlineLevel="1" x14ac:dyDescent="0.3">
      <c r="A66" s="101" t="s">
        <v>24</v>
      </c>
      <c r="B66" s="35" t="s">
        <v>69</v>
      </c>
      <c r="C66" s="35">
        <v>3512.39</v>
      </c>
      <c r="D66" s="35">
        <v>3070.36</v>
      </c>
      <c r="E66" s="5">
        <v>2473.19</v>
      </c>
      <c r="F66" s="17">
        <v>2668.82</v>
      </c>
    </row>
    <row r="67" spans="1:6" x14ac:dyDescent="0.3">
      <c r="A67" s="161"/>
      <c r="B67" s="148" t="s">
        <v>77</v>
      </c>
      <c r="C67" s="148">
        <f>SUM(C55:C66)</f>
        <v>15814.08</v>
      </c>
      <c r="D67" s="148">
        <f>SUM(D55:D66)</f>
        <v>14296.17</v>
      </c>
      <c r="E67" s="148">
        <f t="shared" ref="E67:F67" si="5">SUM(E55:E66)</f>
        <v>13833.990000000002</v>
      </c>
      <c r="F67" s="149">
        <f t="shared" si="5"/>
        <v>12649.33</v>
      </c>
    </row>
    <row r="68" spans="1:6" x14ac:dyDescent="0.3">
      <c r="A68" s="161"/>
      <c r="B68" s="148" t="s">
        <v>78</v>
      </c>
      <c r="C68" s="148">
        <f>C52+C67</f>
        <v>34801.769999999997</v>
      </c>
      <c r="D68" s="148">
        <f>D52+D67</f>
        <v>26472.78</v>
      </c>
      <c r="E68" s="148">
        <f t="shared" ref="E68:F68" si="6">E52+E67</f>
        <v>26523.370000000003</v>
      </c>
      <c r="F68" s="149">
        <f t="shared" si="6"/>
        <v>23726.11</v>
      </c>
    </row>
    <row r="69" spans="1:6" ht="25.05" customHeight="1" thickBot="1" x14ac:dyDescent="0.35">
      <c r="A69" s="210" t="s">
        <v>79</v>
      </c>
      <c r="B69" s="211"/>
      <c r="C69" s="156">
        <f>C40+C68</f>
        <v>75162.25</v>
      </c>
      <c r="D69" s="162">
        <f>D40+D68</f>
        <v>67029.63</v>
      </c>
      <c r="E69" s="162">
        <f t="shared" ref="E69:F69" si="7">E40+E68</f>
        <v>72016.97</v>
      </c>
      <c r="F69" s="163">
        <f t="shared" si="7"/>
        <v>73488.98000000001</v>
      </c>
    </row>
    <row r="70" spans="1:6" ht="16.2" thickBot="1" x14ac:dyDescent="0.35">
      <c r="A70" s="93"/>
      <c r="B70" s="164"/>
      <c r="C70" s="164"/>
      <c r="D70" s="95"/>
      <c r="E70" s="95"/>
      <c r="F70" s="96"/>
    </row>
    <row r="71" spans="1:6" ht="16.2" thickTop="1" x14ac:dyDescent="0.3"/>
    <row r="73" spans="1:6" s="165" customFormat="1" ht="34.950000000000003" customHeight="1" thickBot="1" x14ac:dyDescent="0.4">
      <c r="A73" s="215" t="s">
        <v>190</v>
      </c>
      <c r="B73" s="215"/>
      <c r="C73" s="215"/>
      <c r="D73" s="215"/>
      <c r="E73" s="215"/>
      <c r="F73" s="215"/>
    </row>
    <row r="74" spans="1:6" ht="16.2" thickTop="1" x14ac:dyDescent="0.3"/>
    <row r="75" spans="1:6" ht="19.95" customHeight="1" thickBot="1" x14ac:dyDescent="0.35">
      <c r="A75" s="205" t="s">
        <v>198</v>
      </c>
      <c r="B75" s="205"/>
      <c r="C75" s="205"/>
      <c r="D75" s="205"/>
      <c r="E75" s="205"/>
      <c r="F75" s="205"/>
    </row>
    <row r="76" spans="1:6" ht="16.2" thickBot="1" x14ac:dyDescent="0.35"/>
    <row r="77" spans="1:6" ht="25.05" customHeight="1" thickTop="1" thickBot="1" x14ac:dyDescent="0.35">
      <c r="A77" s="100" t="s">
        <v>10</v>
      </c>
      <c r="B77" s="105" t="s">
        <v>11</v>
      </c>
      <c r="C77" s="85" t="s">
        <v>166</v>
      </c>
      <c r="D77" s="86" t="s">
        <v>3</v>
      </c>
      <c r="E77" s="86" t="s">
        <v>4</v>
      </c>
      <c r="F77" s="87" t="s">
        <v>5</v>
      </c>
    </row>
    <row r="78" spans="1:6" x14ac:dyDescent="0.3">
      <c r="A78" s="101"/>
      <c r="B78" s="106"/>
      <c r="C78" s="88"/>
      <c r="D78" s="89"/>
      <c r="E78" s="89"/>
      <c r="F78" s="60"/>
    </row>
    <row r="79" spans="1:6" x14ac:dyDescent="0.3">
      <c r="A79" s="101" t="s">
        <v>14</v>
      </c>
      <c r="B79" s="106" t="s">
        <v>191</v>
      </c>
      <c r="C79" s="88"/>
      <c r="D79" s="89"/>
      <c r="E79" s="89"/>
      <c r="F79" s="60"/>
    </row>
    <row r="80" spans="1:6" x14ac:dyDescent="0.3">
      <c r="A80" s="101" t="s">
        <v>28</v>
      </c>
      <c r="B80" s="106" t="s">
        <v>200</v>
      </c>
      <c r="C80" s="88">
        <v>10037.549999999999</v>
      </c>
      <c r="D80" s="35">
        <v>9708.51</v>
      </c>
      <c r="E80" s="50">
        <v>7516.13</v>
      </c>
      <c r="F80" s="150">
        <v>4580.46</v>
      </c>
    </row>
    <row r="81" spans="1:6" ht="16.05" customHeight="1" x14ac:dyDescent="0.3">
      <c r="A81" s="101" t="s">
        <v>30</v>
      </c>
      <c r="B81" s="169" t="s">
        <v>212</v>
      </c>
      <c r="C81" s="88">
        <v>-1672.6</v>
      </c>
      <c r="D81" s="35">
        <v>-3337.16</v>
      </c>
      <c r="E81" s="50">
        <v>-1359.87</v>
      </c>
      <c r="F81" s="150">
        <v>-1236.23</v>
      </c>
    </row>
    <row r="82" spans="1:6" x14ac:dyDescent="0.3">
      <c r="A82" s="102"/>
      <c r="B82" s="107" t="s">
        <v>193</v>
      </c>
      <c r="C82" s="90">
        <f>SUM(C80:C81)</f>
        <v>8364.9499999999989</v>
      </c>
      <c r="D82" s="91">
        <f>SUM(D80:D81)</f>
        <v>6371.35</v>
      </c>
      <c r="E82" s="91">
        <f t="shared" ref="E82:F82" si="8">SUM(E80:E81)</f>
        <v>6156.26</v>
      </c>
      <c r="F82" s="97">
        <f t="shared" si="8"/>
        <v>3344.23</v>
      </c>
    </row>
    <row r="83" spans="1:6" x14ac:dyDescent="0.3">
      <c r="A83" s="101"/>
      <c r="B83" s="106"/>
      <c r="C83" s="88"/>
      <c r="D83" s="89"/>
      <c r="E83" s="89"/>
      <c r="F83" s="60"/>
    </row>
    <row r="84" spans="1:6" x14ac:dyDescent="0.3">
      <c r="A84" s="101" t="s">
        <v>16</v>
      </c>
      <c r="B84" s="106" t="s">
        <v>194</v>
      </c>
      <c r="C84" s="88"/>
      <c r="D84" s="89"/>
      <c r="E84" s="89"/>
      <c r="F84" s="60"/>
    </row>
    <row r="85" spans="1:6" x14ac:dyDescent="0.3">
      <c r="A85" s="101" t="s">
        <v>28</v>
      </c>
      <c r="B85" s="106" t="s">
        <v>200</v>
      </c>
      <c r="C85" s="88">
        <v>0</v>
      </c>
      <c r="D85" s="35">
        <v>410.4</v>
      </c>
      <c r="E85" s="1">
        <v>500</v>
      </c>
      <c r="F85" s="18">
        <v>750</v>
      </c>
    </row>
    <row r="86" spans="1:6" s="166" customFormat="1" ht="16.05" customHeight="1" x14ac:dyDescent="0.3">
      <c r="A86" s="101" t="s">
        <v>30</v>
      </c>
      <c r="B86" s="35" t="s">
        <v>213</v>
      </c>
      <c r="C86" s="88">
        <v>0</v>
      </c>
      <c r="D86" s="35">
        <v>300</v>
      </c>
      <c r="E86" s="1">
        <v>500</v>
      </c>
      <c r="F86" s="17">
        <v>1000</v>
      </c>
    </row>
    <row r="87" spans="1:6" s="166" customFormat="1" ht="16.05" customHeight="1" x14ac:dyDescent="0.3">
      <c r="A87" s="101" t="s">
        <v>32</v>
      </c>
      <c r="B87" s="169" t="s">
        <v>212</v>
      </c>
      <c r="C87" s="88">
        <v>0</v>
      </c>
      <c r="D87" s="35">
        <v>0</v>
      </c>
      <c r="E87" s="50">
        <v>-1000</v>
      </c>
      <c r="F87" s="150">
        <v>-200</v>
      </c>
    </row>
    <row r="88" spans="1:6" x14ac:dyDescent="0.3">
      <c r="A88" s="102"/>
      <c r="B88" s="107" t="s">
        <v>197</v>
      </c>
      <c r="C88" s="90">
        <f>SUM(C85:C87)</f>
        <v>0</v>
      </c>
      <c r="D88" s="90">
        <f t="shared" ref="D88:F88" si="9">SUM(D85:D87)</f>
        <v>710.4</v>
      </c>
      <c r="E88" s="90">
        <f t="shared" si="9"/>
        <v>0</v>
      </c>
      <c r="F88" s="90">
        <f t="shared" si="9"/>
        <v>1550</v>
      </c>
    </row>
    <row r="89" spans="1:6" ht="19.95" customHeight="1" x14ac:dyDescent="0.3">
      <c r="A89" s="101"/>
      <c r="B89" s="106"/>
      <c r="C89" s="88"/>
      <c r="D89" s="89"/>
      <c r="E89" s="89"/>
      <c r="F89" s="60"/>
    </row>
    <row r="90" spans="1:6" ht="16.2" thickBot="1" x14ac:dyDescent="0.35">
      <c r="A90" s="103"/>
      <c r="B90" s="108" t="s">
        <v>199</v>
      </c>
      <c r="C90" s="92">
        <f>C82+C88</f>
        <v>8364.9499999999989</v>
      </c>
      <c r="D90" s="92">
        <f>D82+D88</f>
        <v>7081.75</v>
      </c>
      <c r="E90" s="92">
        <f t="shared" ref="E90:F90" si="10">E82+E88</f>
        <v>6156.26</v>
      </c>
      <c r="F90" s="99">
        <f t="shared" si="10"/>
        <v>4894.2299999999996</v>
      </c>
    </row>
    <row r="91" spans="1:6" ht="16.2" thickBot="1" x14ac:dyDescent="0.35">
      <c r="A91" s="104"/>
      <c r="B91" s="109"/>
      <c r="C91" s="94"/>
      <c r="D91" s="95"/>
      <c r="E91" s="95"/>
      <c r="F91" s="96"/>
    </row>
    <row r="92" spans="1:6" ht="16.2" thickTop="1" x14ac:dyDescent="0.3"/>
    <row r="94" spans="1:6" ht="19.95" customHeight="1" thickBot="1" x14ac:dyDescent="0.35">
      <c r="A94" s="205" t="s">
        <v>201</v>
      </c>
      <c r="B94" s="205"/>
      <c r="C94" s="205"/>
      <c r="D94" s="205"/>
      <c r="E94" s="205"/>
      <c r="F94" s="205"/>
    </row>
    <row r="95" spans="1:6" ht="16.2" thickBot="1" x14ac:dyDescent="0.35"/>
    <row r="96" spans="1:6" ht="25.05" customHeight="1" thickTop="1" thickBot="1" x14ac:dyDescent="0.35">
      <c r="A96" s="100" t="s">
        <v>10</v>
      </c>
      <c r="B96" s="105" t="s">
        <v>11</v>
      </c>
      <c r="C96" s="85" t="s">
        <v>166</v>
      </c>
      <c r="D96" s="86" t="s">
        <v>3</v>
      </c>
      <c r="E96" s="86" t="s">
        <v>4</v>
      </c>
      <c r="F96" s="87" t="s">
        <v>5</v>
      </c>
    </row>
    <row r="97" spans="1:6" x14ac:dyDescent="0.3">
      <c r="A97" s="101"/>
      <c r="B97" s="88"/>
      <c r="C97" s="88"/>
      <c r="D97" s="89"/>
      <c r="E97" s="89"/>
      <c r="F97" s="60"/>
    </row>
    <row r="98" spans="1:6" x14ac:dyDescent="0.3">
      <c r="A98" s="101" t="s">
        <v>14</v>
      </c>
      <c r="B98" s="106" t="s">
        <v>191</v>
      </c>
      <c r="C98" s="88"/>
      <c r="D98" s="89"/>
      <c r="E98" s="89"/>
      <c r="F98" s="60"/>
    </row>
    <row r="99" spans="1:6" x14ac:dyDescent="0.3">
      <c r="A99" s="101" t="s">
        <v>28</v>
      </c>
      <c r="B99" s="106" t="s">
        <v>214</v>
      </c>
      <c r="C99" s="35">
        <v>828.03</v>
      </c>
      <c r="D99" s="35">
        <v>582.65</v>
      </c>
      <c r="E99" s="1">
        <v>500</v>
      </c>
      <c r="F99" s="18">
        <v>500</v>
      </c>
    </row>
    <row r="100" spans="1:6" x14ac:dyDescent="0.3">
      <c r="A100" s="101" t="s">
        <v>30</v>
      </c>
      <c r="B100" s="106" t="s">
        <v>215</v>
      </c>
      <c r="C100" s="35">
        <v>926.32</v>
      </c>
      <c r="D100" s="35">
        <v>872.17</v>
      </c>
      <c r="E100" s="5">
        <v>2102.4699999999998</v>
      </c>
      <c r="F100" s="18">
        <v>85.72</v>
      </c>
    </row>
    <row r="101" spans="1:6" x14ac:dyDescent="0.3">
      <c r="A101" s="101" t="s">
        <v>32</v>
      </c>
      <c r="B101" s="106" t="s">
        <v>205</v>
      </c>
      <c r="C101" s="35">
        <v>1672.6</v>
      </c>
      <c r="D101" s="35">
        <v>3337.16</v>
      </c>
      <c r="E101" s="5">
        <v>1359.87</v>
      </c>
      <c r="F101" s="17">
        <v>1236.23</v>
      </c>
    </row>
    <row r="102" spans="1:6" x14ac:dyDescent="0.3">
      <c r="A102" s="102"/>
      <c r="B102" s="107" t="s">
        <v>193</v>
      </c>
      <c r="C102" s="90">
        <f>SUM(C99:C101)</f>
        <v>3426.95</v>
      </c>
      <c r="D102" s="90">
        <f>SUM(D99:D101)</f>
        <v>4791.9799999999996</v>
      </c>
      <c r="E102" s="90">
        <f>SUM(E99:E101)</f>
        <v>3962.3399999999997</v>
      </c>
      <c r="F102" s="98">
        <f>SUM(F99:F101)</f>
        <v>1821.95</v>
      </c>
    </row>
    <row r="103" spans="1:6" x14ac:dyDescent="0.3">
      <c r="A103" s="101"/>
      <c r="B103" s="106"/>
      <c r="C103" s="88"/>
      <c r="D103" s="89"/>
      <c r="E103" s="89"/>
      <c r="F103" s="60"/>
    </row>
    <row r="104" spans="1:6" x14ac:dyDescent="0.3">
      <c r="A104" s="101" t="s">
        <v>16</v>
      </c>
      <c r="B104" s="106" t="s">
        <v>194</v>
      </c>
      <c r="C104" s="88"/>
      <c r="D104" s="89"/>
      <c r="E104" s="89"/>
      <c r="F104" s="60"/>
    </row>
    <row r="105" spans="1:6" x14ac:dyDescent="0.3">
      <c r="A105" s="101" t="s">
        <v>28</v>
      </c>
      <c r="B105" s="106" t="s">
        <v>216</v>
      </c>
      <c r="C105" s="35">
        <v>1533.93</v>
      </c>
      <c r="D105" s="35">
        <v>1.65</v>
      </c>
      <c r="E105" s="1">
        <v>1.65</v>
      </c>
      <c r="F105" s="18">
        <v>1.65</v>
      </c>
    </row>
    <row r="106" spans="1:6" x14ac:dyDescent="0.3">
      <c r="A106" s="101" t="s">
        <v>30</v>
      </c>
      <c r="B106" s="106" t="s">
        <v>205</v>
      </c>
      <c r="C106" s="88">
        <v>0</v>
      </c>
      <c r="D106" s="89" t="s">
        <v>217</v>
      </c>
      <c r="E106" s="5">
        <v>1000</v>
      </c>
      <c r="F106" s="18">
        <v>200</v>
      </c>
    </row>
    <row r="107" spans="1:6" x14ac:dyDescent="0.3">
      <c r="A107" s="101" t="s">
        <v>32</v>
      </c>
      <c r="B107" s="106" t="s">
        <v>206</v>
      </c>
      <c r="C107" s="88">
        <v>0</v>
      </c>
      <c r="D107" s="89" t="s">
        <v>217</v>
      </c>
      <c r="E107" s="89">
        <v>0</v>
      </c>
      <c r="F107" s="60"/>
    </row>
    <row r="108" spans="1:6" x14ac:dyDescent="0.3">
      <c r="A108" s="102"/>
      <c r="B108" s="107" t="s">
        <v>197</v>
      </c>
      <c r="C108" s="90">
        <f>SUM(C105:C107)</f>
        <v>1533.93</v>
      </c>
      <c r="D108" s="90">
        <f>SUM(D105:D107)</f>
        <v>1.65</v>
      </c>
      <c r="E108" s="90">
        <f>SUM(E105:E107)</f>
        <v>1001.65</v>
      </c>
      <c r="F108" s="98">
        <f>SUM(F105:F107)</f>
        <v>201.65</v>
      </c>
    </row>
    <row r="109" spans="1:6" x14ac:dyDescent="0.3">
      <c r="A109" s="101"/>
      <c r="B109" s="106"/>
      <c r="C109" s="88"/>
      <c r="D109" s="89"/>
      <c r="E109" s="89"/>
      <c r="F109" s="60"/>
    </row>
    <row r="110" spans="1:6" ht="16.2" thickBot="1" x14ac:dyDescent="0.35">
      <c r="A110" s="103"/>
      <c r="B110" s="108" t="s">
        <v>207</v>
      </c>
      <c r="C110" s="92">
        <f>C102+C108</f>
        <v>4960.88</v>
      </c>
      <c r="D110" s="92">
        <f>D102+D108</f>
        <v>4793.6299999999992</v>
      </c>
      <c r="E110" s="92">
        <f>E102+E108</f>
        <v>4963.99</v>
      </c>
      <c r="F110" s="99">
        <f>F102+F108</f>
        <v>2023.6000000000001</v>
      </c>
    </row>
    <row r="111" spans="1:6" ht="16.2" thickBot="1" x14ac:dyDescent="0.35">
      <c r="A111" s="93"/>
      <c r="B111" s="94"/>
      <c r="C111" s="94"/>
      <c r="D111" s="95"/>
      <c r="E111" s="95"/>
      <c r="F111" s="96"/>
    </row>
    <row r="112" spans="1:6" ht="16.2" thickTop="1" x14ac:dyDescent="0.3"/>
  </sheetData>
  <mergeCells count="8">
    <mergeCell ref="A75:F75"/>
    <mergeCell ref="A94:F94"/>
    <mergeCell ref="A1:F1"/>
    <mergeCell ref="A4:F4"/>
    <mergeCell ref="A35:B35"/>
    <mergeCell ref="A36:F36"/>
    <mergeCell ref="A69:B69"/>
    <mergeCell ref="A73:F7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E347-6461-244C-9404-F8B1DC0FB1C8}">
  <dimension ref="A1:E97"/>
  <sheetViews>
    <sheetView workbookViewId="0">
      <pane ySplit="3" topLeftCell="A4" activePane="bottomLeft" state="frozen"/>
      <selection pane="bottomLeft" activeCell="B78" sqref="B78"/>
    </sheetView>
  </sheetViews>
  <sheetFormatPr defaultColWidth="10.796875" defaultRowHeight="15.6" outlineLevelRow="1" x14ac:dyDescent="0.3"/>
  <cols>
    <col min="1" max="1" width="82.796875" style="35" bestFit="1" customWidth="1"/>
    <col min="2" max="2" width="12" style="36" bestFit="1" customWidth="1"/>
    <col min="3" max="4" width="12" style="37" bestFit="1" customWidth="1"/>
    <col min="5" max="5" width="12.19921875" style="37" bestFit="1" customWidth="1"/>
    <col min="6" max="16384" width="10.796875" style="35"/>
  </cols>
  <sheetData>
    <row r="1" spans="1:5" ht="67.95" customHeight="1" thickBot="1" x14ac:dyDescent="0.35">
      <c r="A1" s="206" t="s">
        <v>220</v>
      </c>
      <c r="B1" s="206"/>
      <c r="C1" s="206"/>
      <c r="D1" s="206"/>
      <c r="E1" s="35"/>
    </row>
    <row r="2" spans="1:5" ht="16.8" thickTop="1" thickBot="1" x14ac:dyDescent="0.35"/>
    <row r="3" spans="1:5" ht="25.05" customHeight="1" thickBot="1" x14ac:dyDescent="0.35">
      <c r="A3" s="66" t="s">
        <v>11</v>
      </c>
      <c r="B3" s="67" t="s">
        <v>3</v>
      </c>
      <c r="C3" s="67" t="s">
        <v>4</v>
      </c>
      <c r="D3" s="68" t="s">
        <v>5</v>
      </c>
      <c r="E3" s="35"/>
    </row>
    <row r="4" spans="1:5" ht="16.2" thickTop="1" x14ac:dyDescent="0.3">
      <c r="A4" s="69" t="s">
        <v>91</v>
      </c>
      <c r="B4" s="70">
        <v>51180.08</v>
      </c>
      <c r="C4" s="70">
        <v>49681.7</v>
      </c>
      <c r="D4" s="171">
        <v>48818.03</v>
      </c>
      <c r="E4" s="35"/>
    </row>
    <row r="5" spans="1:5" ht="16.05" customHeight="1" x14ac:dyDescent="0.3">
      <c r="A5" s="49" t="s">
        <v>92</v>
      </c>
      <c r="B5" s="50"/>
      <c r="C5" s="50">
        <f t="shared" ref="C5:D5" si="0">(C4/B4-1)*100</f>
        <v>-2.9276624811840901</v>
      </c>
      <c r="D5" s="51">
        <f t="shared" si="0"/>
        <v>-1.7384066970333123</v>
      </c>
      <c r="E5" s="35"/>
    </row>
    <row r="6" spans="1:5" x14ac:dyDescent="0.3">
      <c r="A6" s="49"/>
      <c r="B6" s="50"/>
      <c r="C6" s="50"/>
      <c r="D6" s="51"/>
      <c r="E6" s="35"/>
    </row>
    <row r="7" spans="1:5" outlineLevel="1" x14ac:dyDescent="0.3">
      <c r="A7" s="49" t="s">
        <v>93</v>
      </c>
      <c r="B7" s="35">
        <v>22643.82</v>
      </c>
      <c r="C7" s="5">
        <v>21390.880000000001</v>
      </c>
      <c r="D7" s="57">
        <v>23034.67</v>
      </c>
    </row>
    <row r="8" spans="1:5" outlineLevel="1" x14ac:dyDescent="0.3">
      <c r="A8" s="49" t="s">
        <v>94</v>
      </c>
      <c r="B8" s="35">
        <v>9025.6200000000008</v>
      </c>
      <c r="C8" s="5">
        <v>6576.02</v>
      </c>
      <c r="D8" s="57">
        <v>5312.91</v>
      </c>
    </row>
    <row r="9" spans="1:5" outlineLevel="1" x14ac:dyDescent="0.3">
      <c r="A9" s="49" t="s">
        <v>221</v>
      </c>
      <c r="B9" s="35">
        <v>1352.7</v>
      </c>
      <c r="C9" s="5">
        <v>1541.64</v>
      </c>
      <c r="D9" s="57">
        <v>1652.9</v>
      </c>
    </row>
    <row r="10" spans="1:5" outlineLevel="1" x14ac:dyDescent="0.3">
      <c r="A10" s="49" t="s">
        <v>96</v>
      </c>
      <c r="B10" s="35">
        <v>1782.02</v>
      </c>
      <c r="C10" s="5">
        <v>2251.4899999999998</v>
      </c>
      <c r="D10" s="57">
        <v>1762.84</v>
      </c>
    </row>
    <row r="11" spans="1:5" outlineLevel="1" x14ac:dyDescent="0.3">
      <c r="A11" s="49" t="s">
        <v>97</v>
      </c>
      <c r="B11" s="35">
        <v>-45.03</v>
      </c>
      <c r="C11" s="1">
        <v>142.24</v>
      </c>
      <c r="D11" s="58">
        <v>527.20000000000005</v>
      </c>
    </row>
    <row r="12" spans="1:5" x14ac:dyDescent="0.3">
      <c r="A12" s="69" t="s">
        <v>98</v>
      </c>
      <c r="B12" s="70">
        <f>SUM(B7:B11)</f>
        <v>34759.129999999997</v>
      </c>
      <c r="C12" s="70">
        <f>SUM(C7:C11)</f>
        <v>31902.27</v>
      </c>
      <c r="D12" s="72">
        <f>SUM(D7:D11)</f>
        <v>32290.52</v>
      </c>
    </row>
    <row r="13" spans="1:5" x14ac:dyDescent="0.3">
      <c r="A13" s="49" t="s">
        <v>99</v>
      </c>
      <c r="B13" s="50"/>
      <c r="C13" s="50">
        <f t="shared" ref="C13:D13" si="1">(C12/B12-1)*100</f>
        <v>-8.2190204415357844</v>
      </c>
      <c r="D13" s="51">
        <f t="shared" si="1"/>
        <v>1.2169980380706491</v>
      </c>
    </row>
    <row r="14" spans="1:5" x14ac:dyDescent="0.3">
      <c r="A14" s="49"/>
      <c r="B14" s="50"/>
      <c r="C14" s="50"/>
      <c r="D14" s="51"/>
    </row>
    <row r="15" spans="1:5" x14ac:dyDescent="0.3">
      <c r="A15" s="73" t="s">
        <v>100</v>
      </c>
      <c r="B15" s="74">
        <f>B4-B12</f>
        <v>16420.950000000004</v>
      </c>
      <c r="C15" s="74">
        <f>C4-C12</f>
        <v>17779.429999999997</v>
      </c>
      <c r="D15" s="75">
        <f>D4-D12</f>
        <v>16527.509999999998</v>
      </c>
    </row>
    <row r="16" spans="1:5" x14ac:dyDescent="0.3">
      <c r="A16" s="47" t="s">
        <v>101</v>
      </c>
      <c r="B16" s="48">
        <f>(B15/B4)*100</f>
        <v>32.08465090324205</v>
      </c>
      <c r="C16" s="48">
        <f>(C15/C4)*100</f>
        <v>35.786677992097687</v>
      </c>
      <c r="D16" s="52">
        <f>(D15/D4)*100</f>
        <v>33.855339922565491</v>
      </c>
    </row>
    <row r="17" spans="1:4" x14ac:dyDescent="0.3">
      <c r="A17" s="49" t="s">
        <v>102</v>
      </c>
      <c r="B17" s="50"/>
      <c r="C17" s="50">
        <f t="shared" ref="C17:D17" si="2">(C15/B15-1)*100</f>
        <v>8.2728465770859358</v>
      </c>
      <c r="D17" s="51">
        <f t="shared" si="2"/>
        <v>-7.0413955902973164</v>
      </c>
    </row>
    <row r="18" spans="1:4" x14ac:dyDescent="0.3">
      <c r="A18" s="49"/>
      <c r="B18" s="50"/>
      <c r="C18" s="50"/>
      <c r="D18" s="51"/>
    </row>
    <row r="19" spans="1:4" outlineLevel="1" x14ac:dyDescent="0.3">
      <c r="A19" s="49" t="s">
        <v>103</v>
      </c>
      <c r="B19" s="35">
        <v>1955.93</v>
      </c>
      <c r="C19" s="5">
        <v>1487.18</v>
      </c>
      <c r="D19" s="57">
        <v>1446.58</v>
      </c>
    </row>
    <row r="20" spans="1:4" outlineLevel="1" x14ac:dyDescent="0.3">
      <c r="A20" s="49" t="s">
        <v>222</v>
      </c>
      <c r="B20" s="35">
        <v>0</v>
      </c>
      <c r="C20" s="1">
        <v>17.45</v>
      </c>
      <c r="D20" s="58">
        <v>53.87</v>
      </c>
    </row>
    <row r="21" spans="1:4" outlineLevel="1" x14ac:dyDescent="0.3">
      <c r="A21" s="49" t="s">
        <v>247</v>
      </c>
      <c r="B21" s="35">
        <v>0</v>
      </c>
      <c r="C21" s="35">
        <v>0</v>
      </c>
      <c r="D21" s="51">
        <v>0</v>
      </c>
    </row>
    <row r="22" spans="1:4" outlineLevel="1" x14ac:dyDescent="0.3">
      <c r="A22" s="49" t="s">
        <v>223</v>
      </c>
      <c r="B22" s="35">
        <v>3.92</v>
      </c>
      <c r="C22" s="1">
        <v>14.43</v>
      </c>
      <c r="D22" s="58">
        <v>24.37</v>
      </c>
    </row>
    <row r="23" spans="1:4" x14ac:dyDescent="0.3">
      <c r="A23" s="69" t="s">
        <v>105</v>
      </c>
      <c r="B23" s="70">
        <f>SUM(B19:B22)</f>
        <v>1959.8500000000001</v>
      </c>
      <c r="C23" s="70">
        <f>SUM(C19:C22)</f>
        <v>1519.0600000000002</v>
      </c>
      <c r="D23" s="72">
        <f>SUM(D19:D22)</f>
        <v>1524.8199999999997</v>
      </c>
    </row>
    <row r="24" spans="1:4" x14ac:dyDescent="0.3">
      <c r="A24" s="49" t="s">
        <v>99</v>
      </c>
      <c r="B24" s="50"/>
      <c r="C24" s="50">
        <f t="shared" ref="C24:D24" si="3">(C23/B23-1)*100</f>
        <v>-22.491006964818727</v>
      </c>
      <c r="D24" s="51">
        <f t="shared" si="3"/>
        <v>0.37918186246754804</v>
      </c>
    </row>
    <row r="25" spans="1:4" x14ac:dyDescent="0.3">
      <c r="A25" s="49"/>
      <c r="B25" s="50"/>
      <c r="C25" s="50"/>
      <c r="D25" s="51"/>
    </row>
    <row r="26" spans="1:4" outlineLevel="1" x14ac:dyDescent="0.3">
      <c r="A26" s="49" t="s">
        <v>106</v>
      </c>
      <c r="B26" s="35">
        <v>3978.73</v>
      </c>
      <c r="C26" s="5">
        <v>3780.14</v>
      </c>
      <c r="D26" s="57">
        <v>3519.32</v>
      </c>
    </row>
    <row r="27" spans="1:4" outlineLevel="1" x14ac:dyDescent="0.3">
      <c r="A27" s="49" t="s">
        <v>224</v>
      </c>
      <c r="B27" s="35">
        <v>261.43</v>
      </c>
      <c r="C27" s="1">
        <v>294.5</v>
      </c>
      <c r="D27" s="58">
        <v>489.98</v>
      </c>
    </row>
    <row r="28" spans="1:4" outlineLevel="1" x14ac:dyDescent="0.3">
      <c r="A28" s="49" t="s">
        <v>225</v>
      </c>
      <c r="B28" s="35">
        <v>36.85</v>
      </c>
      <c r="C28" s="1">
        <v>24.49</v>
      </c>
      <c r="D28" s="58">
        <v>23.18</v>
      </c>
    </row>
    <row r="29" spans="1:4" outlineLevel="1" x14ac:dyDescent="0.3">
      <c r="A29" s="49" t="s">
        <v>226</v>
      </c>
      <c r="B29" s="35">
        <v>62.24</v>
      </c>
      <c r="C29" s="1">
        <v>101.57</v>
      </c>
      <c r="D29" s="58">
        <v>153.75</v>
      </c>
    </row>
    <row r="30" spans="1:4" outlineLevel="1" x14ac:dyDescent="0.3">
      <c r="A30" s="49" t="s">
        <v>110</v>
      </c>
      <c r="B30" s="35">
        <v>12.77</v>
      </c>
      <c r="C30" s="1">
        <v>10.33</v>
      </c>
      <c r="D30" s="58">
        <v>11.11</v>
      </c>
    </row>
    <row r="31" spans="1:4" outlineLevel="1" x14ac:dyDescent="0.3">
      <c r="A31" s="49" t="s">
        <v>227</v>
      </c>
      <c r="B31" s="35">
        <v>4.17</v>
      </c>
      <c r="C31" s="1">
        <v>41.06</v>
      </c>
      <c r="D31" s="58">
        <v>22.99</v>
      </c>
    </row>
    <row r="32" spans="1:4" outlineLevel="1" x14ac:dyDescent="0.3">
      <c r="A32" s="49" t="s">
        <v>228</v>
      </c>
      <c r="B32" s="35">
        <v>0.41</v>
      </c>
      <c r="C32" s="1">
        <v>0.91</v>
      </c>
      <c r="D32" s="58">
        <v>0.8</v>
      </c>
    </row>
    <row r="33" spans="1:4" outlineLevel="1" x14ac:dyDescent="0.3">
      <c r="A33" s="49" t="s">
        <v>229</v>
      </c>
      <c r="B33" s="35">
        <v>38</v>
      </c>
      <c r="C33" s="1">
        <v>102.12</v>
      </c>
      <c r="D33" s="58">
        <v>100.31</v>
      </c>
    </row>
    <row r="34" spans="1:4" outlineLevel="1" x14ac:dyDescent="0.3">
      <c r="A34" s="49" t="s">
        <v>230</v>
      </c>
      <c r="B34" s="35">
        <v>236.3</v>
      </c>
      <c r="C34" s="1">
        <v>225.93</v>
      </c>
      <c r="D34" s="58">
        <v>267.42</v>
      </c>
    </row>
    <row r="35" spans="1:4" outlineLevel="1" x14ac:dyDescent="0.3">
      <c r="A35" s="49" t="s">
        <v>231</v>
      </c>
      <c r="B35" s="35">
        <v>0</v>
      </c>
      <c r="C35" s="5">
        <v>7776.51</v>
      </c>
      <c r="D35" s="51">
        <v>0</v>
      </c>
    </row>
    <row r="36" spans="1:4" outlineLevel="1" x14ac:dyDescent="0.3">
      <c r="A36" s="49" t="s">
        <v>232</v>
      </c>
      <c r="B36" s="35">
        <v>0</v>
      </c>
      <c r="C36" s="35">
        <v>-7776.51</v>
      </c>
      <c r="D36" s="51">
        <v>0</v>
      </c>
    </row>
    <row r="37" spans="1:4" outlineLevel="1" x14ac:dyDescent="0.3">
      <c r="A37" s="49" t="s">
        <v>233</v>
      </c>
      <c r="B37" s="35">
        <v>0</v>
      </c>
      <c r="C37" s="1">
        <v>0.2</v>
      </c>
      <c r="D37" s="58">
        <v>102</v>
      </c>
    </row>
    <row r="38" spans="1:4" outlineLevel="1" x14ac:dyDescent="0.3">
      <c r="A38" s="35" t="s">
        <v>234</v>
      </c>
      <c r="B38" s="50">
        <v>-889.89</v>
      </c>
      <c r="C38" s="35">
        <v>-164.65</v>
      </c>
      <c r="D38" s="51">
        <v>-152.97</v>
      </c>
    </row>
    <row r="39" spans="1:4" x14ac:dyDescent="0.3">
      <c r="A39" s="69" t="s">
        <v>112</v>
      </c>
      <c r="B39" s="70">
        <f t="shared" ref="B39" si="4">SUM(B26:B38)</f>
        <v>3741.0100000000007</v>
      </c>
      <c r="C39" s="70">
        <f>SUM(C26:C38)</f>
        <v>4416.6000000000013</v>
      </c>
      <c r="D39" s="72">
        <f>SUM(D26:D38)</f>
        <v>4537.8899999999994</v>
      </c>
    </row>
    <row r="40" spans="1:4" x14ac:dyDescent="0.3">
      <c r="A40" s="49" t="s">
        <v>99</v>
      </c>
      <c r="B40" s="50"/>
      <c r="C40" s="50">
        <f t="shared" ref="C40:D40" si="5">(C39/B39-1)*100</f>
        <v>18.059026840345261</v>
      </c>
      <c r="D40" s="51">
        <f t="shared" si="5"/>
        <v>2.7462301317755289</v>
      </c>
    </row>
    <row r="41" spans="1:4" x14ac:dyDescent="0.3">
      <c r="A41" s="49"/>
      <c r="B41" s="50"/>
      <c r="C41" s="50"/>
      <c r="D41" s="51"/>
    </row>
    <row r="42" spans="1:4" outlineLevel="1" x14ac:dyDescent="0.3">
      <c r="A42" s="49" t="s">
        <v>113</v>
      </c>
      <c r="B42" s="35">
        <v>769.64</v>
      </c>
      <c r="C42" s="1">
        <v>816.59</v>
      </c>
      <c r="D42" s="58">
        <v>806.46</v>
      </c>
    </row>
    <row r="43" spans="1:4" outlineLevel="1" x14ac:dyDescent="0.3">
      <c r="A43" s="49" t="s">
        <v>114</v>
      </c>
      <c r="B43" s="35">
        <v>56.81</v>
      </c>
      <c r="C43" s="1">
        <v>62.34</v>
      </c>
      <c r="D43" s="58">
        <v>90.7</v>
      </c>
    </row>
    <row r="44" spans="1:4" outlineLevel="1" x14ac:dyDescent="0.3">
      <c r="A44" s="49" t="s">
        <v>115</v>
      </c>
      <c r="B44" s="35">
        <v>47.76</v>
      </c>
      <c r="C44" s="1">
        <v>44.92</v>
      </c>
      <c r="D44" s="58">
        <v>75.48</v>
      </c>
    </row>
    <row r="45" spans="1:4" outlineLevel="1" x14ac:dyDescent="0.3">
      <c r="A45" s="49" t="s">
        <v>117</v>
      </c>
      <c r="B45" s="35">
        <v>29.37</v>
      </c>
      <c r="C45" s="1">
        <v>116.61</v>
      </c>
      <c r="D45" s="58">
        <v>64.75</v>
      </c>
    </row>
    <row r="46" spans="1:4" outlineLevel="1" x14ac:dyDescent="0.3">
      <c r="A46" s="49" t="s">
        <v>118</v>
      </c>
      <c r="B46" s="35">
        <v>95.28</v>
      </c>
      <c r="C46" s="1">
        <v>68.540000000000006</v>
      </c>
      <c r="D46" s="58">
        <v>73.2</v>
      </c>
    </row>
    <row r="47" spans="1:4" outlineLevel="1" x14ac:dyDescent="0.3">
      <c r="A47" s="35" t="s">
        <v>121</v>
      </c>
      <c r="B47" s="35">
        <v>1.3</v>
      </c>
      <c r="C47" s="1">
        <v>1.5</v>
      </c>
      <c r="D47" s="58">
        <v>1.5</v>
      </c>
    </row>
    <row r="48" spans="1:4" outlineLevel="1" x14ac:dyDescent="0.3">
      <c r="A48" s="49" t="s">
        <v>122</v>
      </c>
      <c r="B48" s="35">
        <v>0.09</v>
      </c>
      <c r="C48" s="1">
        <v>0.2</v>
      </c>
      <c r="D48" s="58">
        <v>0.2</v>
      </c>
    </row>
    <row r="49" spans="1:4" outlineLevel="1" x14ac:dyDescent="0.3">
      <c r="A49" s="49" t="s">
        <v>236</v>
      </c>
      <c r="B49" s="35">
        <v>1.04</v>
      </c>
      <c r="C49" s="1">
        <v>0.67</v>
      </c>
      <c r="D49" s="58">
        <v>0.54</v>
      </c>
    </row>
    <row r="50" spans="1:4" outlineLevel="1" x14ac:dyDescent="0.3">
      <c r="A50" s="49" t="s">
        <v>237</v>
      </c>
      <c r="B50" s="35">
        <v>0.09</v>
      </c>
      <c r="C50" s="1">
        <v>0.13</v>
      </c>
      <c r="D50" s="58">
        <v>0.23</v>
      </c>
    </row>
    <row r="51" spans="1:4" outlineLevel="1" x14ac:dyDescent="0.3">
      <c r="A51" s="49" t="s">
        <v>235</v>
      </c>
      <c r="B51" s="35">
        <v>0.02</v>
      </c>
      <c r="C51" s="1">
        <v>0.08</v>
      </c>
      <c r="D51" s="51">
        <v>0</v>
      </c>
    </row>
    <row r="52" spans="1:4" outlineLevel="1" x14ac:dyDescent="0.3">
      <c r="A52" s="49" t="s">
        <v>238</v>
      </c>
      <c r="B52" s="35">
        <v>1.47</v>
      </c>
      <c r="C52" s="1">
        <v>1.57</v>
      </c>
      <c r="D52" s="58">
        <v>1.85</v>
      </c>
    </row>
    <row r="53" spans="1:4" outlineLevel="1" x14ac:dyDescent="0.3">
      <c r="A53" s="49" t="s">
        <v>239</v>
      </c>
      <c r="B53" s="35">
        <v>684.42</v>
      </c>
      <c r="C53" s="1">
        <v>854.82</v>
      </c>
      <c r="D53" s="58">
        <v>828.96</v>
      </c>
    </row>
    <row r="54" spans="1:4" x14ac:dyDescent="0.3">
      <c r="A54" s="69" t="s">
        <v>126</v>
      </c>
      <c r="B54" s="70">
        <f>SUM(B42:B53)</f>
        <v>1687.29</v>
      </c>
      <c r="C54" s="70">
        <f>SUM(C42:C53)</f>
        <v>1967.9700000000003</v>
      </c>
      <c r="D54" s="72">
        <f>SUM(D42:D53)</f>
        <v>1943.8700000000001</v>
      </c>
    </row>
    <row r="55" spans="1:4" x14ac:dyDescent="0.3">
      <c r="A55" s="49" t="s">
        <v>99</v>
      </c>
      <c r="B55" s="50"/>
      <c r="C55" s="50">
        <f t="shared" ref="C55:D55" si="6">(C54/B54-1)*100</f>
        <v>16.634959017122153</v>
      </c>
      <c r="D55" s="51">
        <f t="shared" si="6"/>
        <v>-1.2246121638033181</v>
      </c>
    </row>
    <row r="56" spans="1:4" x14ac:dyDescent="0.3">
      <c r="A56" s="49"/>
      <c r="B56" s="50"/>
      <c r="C56" s="50"/>
      <c r="D56" s="51"/>
    </row>
    <row r="57" spans="1:4" x14ac:dyDescent="0.3">
      <c r="A57" s="69" t="s">
        <v>127</v>
      </c>
      <c r="B57" s="70">
        <f>B23+B39+B54</f>
        <v>7388.1500000000005</v>
      </c>
      <c r="C57" s="70">
        <f>C23+C39+C54</f>
        <v>7903.6300000000019</v>
      </c>
      <c r="D57" s="72">
        <f>D23+D39+D54</f>
        <v>8006.579999999999</v>
      </c>
    </row>
    <row r="58" spans="1:4" x14ac:dyDescent="0.3">
      <c r="A58" s="49" t="s">
        <v>99</v>
      </c>
      <c r="B58" s="50"/>
      <c r="C58" s="50">
        <f t="shared" ref="C58:D58" si="7">(C57/B57-1)*100</f>
        <v>6.977118764508039</v>
      </c>
      <c r="D58" s="51">
        <f t="shared" si="7"/>
        <v>1.3025660361124736</v>
      </c>
    </row>
    <row r="59" spans="1:4" x14ac:dyDescent="0.3">
      <c r="A59" s="49"/>
      <c r="B59" s="50"/>
      <c r="C59" s="50"/>
      <c r="D59" s="51"/>
    </row>
    <row r="60" spans="1:4" x14ac:dyDescent="0.3">
      <c r="A60" s="69" t="s">
        <v>129</v>
      </c>
      <c r="B60" s="70">
        <f>B15-B57</f>
        <v>9032.8000000000029</v>
      </c>
      <c r="C60" s="70">
        <f>C15-C57</f>
        <v>9875.7999999999956</v>
      </c>
      <c r="D60" s="72">
        <f>D15-D57</f>
        <v>8520.93</v>
      </c>
    </row>
    <row r="61" spans="1:4" x14ac:dyDescent="0.3">
      <c r="A61" s="49" t="s">
        <v>99</v>
      </c>
      <c r="B61" s="50"/>
      <c r="C61" s="50">
        <f t="shared" ref="C61:D61" si="8">(C60/B60-1)*100</f>
        <v>9.3326543264546267</v>
      </c>
      <c r="D61" s="51">
        <f t="shared" si="8"/>
        <v>-13.719091111606108</v>
      </c>
    </row>
    <row r="62" spans="1:4" x14ac:dyDescent="0.3">
      <c r="A62" s="49"/>
      <c r="B62" s="50"/>
      <c r="C62" s="50"/>
      <c r="D62" s="51"/>
    </row>
    <row r="63" spans="1:4" x14ac:dyDescent="0.3">
      <c r="A63" s="69" t="s">
        <v>133</v>
      </c>
      <c r="B63" s="70">
        <v>2165.94</v>
      </c>
      <c r="C63" s="70">
        <v>2216.4699999999998</v>
      </c>
      <c r="D63" s="72">
        <v>2272.4899999999998</v>
      </c>
    </row>
    <row r="64" spans="1:4" x14ac:dyDescent="0.3">
      <c r="A64" s="49" t="s">
        <v>99</v>
      </c>
      <c r="B64" s="50"/>
      <c r="C64" s="50">
        <f t="shared" ref="C64:D64" si="9">(C63/B63-1)*100</f>
        <v>2.3329362770898365</v>
      </c>
      <c r="D64" s="51">
        <f t="shared" si="9"/>
        <v>2.5274422843530431</v>
      </c>
    </row>
    <row r="65" spans="1:4" x14ac:dyDescent="0.3">
      <c r="A65" s="49"/>
      <c r="B65" s="50"/>
      <c r="C65" s="50"/>
      <c r="D65" s="51"/>
    </row>
    <row r="66" spans="1:4" x14ac:dyDescent="0.3">
      <c r="A66" s="76" t="s">
        <v>248</v>
      </c>
      <c r="B66" s="77">
        <v>-500.34</v>
      </c>
      <c r="C66" s="77">
        <v>-327.69</v>
      </c>
      <c r="D66" s="78">
        <v>-325.33999999999997</v>
      </c>
    </row>
    <row r="67" spans="1:4" x14ac:dyDescent="0.3">
      <c r="A67" s="53" t="s">
        <v>99</v>
      </c>
      <c r="B67" s="54"/>
      <c r="C67" s="54">
        <f t="shared" ref="C67:D67" si="10">(C66/B66-1)*100</f>
        <v>-34.50653555582204</v>
      </c>
      <c r="D67" s="55">
        <f t="shared" si="10"/>
        <v>-0.71714120052489561</v>
      </c>
    </row>
    <row r="68" spans="1:4" x14ac:dyDescent="0.3">
      <c r="A68" s="49"/>
      <c r="B68" s="50"/>
      <c r="C68" s="50"/>
      <c r="D68" s="51"/>
    </row>
    <row r="69" spans="1:4" x14ac:dyDescent="0.3">
      <c r="A69" s="73" t="s">
        <v>134</v>
      </c>
      <c r="B69" s="74">
        <f>B60-B63+B66</f>
        <v>6366.5200000000023</v>
      </c>
      <c r="C69" s="74">
        <f>C60-C63+C66</f>
        <v>7331.6399999999967</v>
      </c>
      <c r="D69" s="75">
        <f>D60-D63+D66</f>
        <v>5923.1</v>
      </c>
    </row>
    <row r="70" spans="1:4" x14ac:dyDescent="0.3">
      <c r="A70" s="132" t="s">
        <v>99</v>
      </c>
      <c r="B70" s="133"/>
      <c r="C70" s="133">
        <f t="shared" ref="C70:D70" si="11">(C69/B69-1)*100</f>
        <v>15.159302099105854</v>
      </c>
      <c r="D70" s="134">
        <f t="shared" si="11"/>
        <v>-19.211799815593743</v>
      </c>
    </row>
    <row r="71" spans="1:4" x14ac:dyDescent="0.3">
      <c r="D71" s="59"/>
    </row>
    <row r="72" spans="1:4" outlineLevel="1" x14ac:dyDescent="0.3">
      <c r="A72" s="49" t="s">
        <v>240</v>
      </c>
      <c r="B72" s="35">
        <v>1176.97</v>
      </c>
      <c r="C72" s="5">
        <v>1160.98</v>
      </c>
      <c r="D72" s="58">
        <v>988.71</v>
      </c>
    </row>
    <row r="73" spans="1:4" outlineLevel="1" x14ac:dyDescent="0.3">
      <c r="A73" s="49" t="s">
        <v>241</v>
      </c>
      <c r="B73" s="35">
        <v>23.14</v>
      </c>
      <c r="C73" s="1">
        <v>18</v>
      </c>
      <c r="D73" s="58">
        <v>6.4</v>
      </c>
    </row>
    <row r="74" spans="1:4" outlineLevel="1" x14ac:dyDescent="0.3">
      <c r="A74" s="49" t="s">
        <v>242</v>
      </c>
      <c r="B74" s="35">
        <v>61.78</v>
      </c>
      <c r="C74" s="1">
        <v>60.8</v>
      </c>
      <c r="D74" s="58">
        <v>59.21</v>
      </c>
    </row>
    <row r="75" spans="1:4" outlineLevel="1" x14ac:dyDescent="0.3">
      <c r="A75" s="49" t="s">
        <v>243</v>
      </c>
      <c r="B75" s="35">
        <v>273.26</v>
      </c>
      <c r="C75" s="1">
        <v>191.23</v>
      </c>
      <c r="D75" s="58">
        <v>128.24</v>
      </c>
    </row>
    <row r="76" spans="1:4" outlineLevel="1" x14ac:dyDescent="0.3">
      <c r="A76" s="49" t="s">
        <v>244</v>
      </c>
      <c r="B76" s="35">
        <v>-117.47</v>
      </c>
      <c r="C76" s="35">
        <v>-346.21</v>
      </c>
      <c r="D76" s="51">
        <v>-370.1</v>
      </c>
    </row>
    <row r="77" spans="1:4" outlineLevel="1" x14ac:dyDescent="0.3">
      <c r="A77" s="49" t="s">
        <v>245</v>
      </c>
      <c r="B77" s="35">
        <v>-131.9</v>
      </c>
      <c r="C77" s="35">
        <v>-164</v>
      </c>
      <c r="D77" s="51">
        <v>-192.44</v>
      </c>
    </row>
    <row r="78" spans="1:4" x14ac:dyDescent="0.3">
      <c r="A78" s="76" t="s">
        <v>140</v>
      </c>
      <c r="B78" s="77">
        <f>SUM(B72:B77)</f>
        <v>1285.78</v>
      </c>
      <c r="C78" s="77">
        <f>SUM(C72:C77)</f>
        <v>920.8</v>
      </c>
      <c r="D78" s="78">
        <f>SUM(D72:D77)</f>
        <v>620.02</v>
      </c>
    </row>
    <row r="79" spans="1:4" x14ac:dyDescent="0.3">
      <c r="A79" s="49" t="s">
        <v>99</v>
      </c>
      <c r="B79" s="35"/>
      <c r="C79" s="35">
        <f t="shared" ref="C79:D79" si="12">(C78/B78-1)*100</f>
        <v>-28.385882499338923</v>
      </c>
      <c r="D79" s="51">
        <f t="shared" si="12"/>
        <v>-32.665073848827106</v>
      </c>
    </row>
    <row r="80" spans="1:4" x14ac:dyDescent="0.3">
      <c r="D80" s="59"/>
    </row>
    <row r="81" spans="1:4" x14ac:dyDescent="0.3">
      <c r="A81" s="79" t="s">
        <v>157</v>
      </c>
      <c r="B81" s="129">
        <f>B69-B78</f>
        <v>5080.7400000000025</v>
      </c>
      <c r="C81" s="129">
        <f>C69-C78</f>
        <v>6410.8399999999965</v>
      </c>
      <c r="D81" s="130">
        <f>D69-D78</f>
        <v>5303.08</v>
      </c>
    </row>
    <row r="82" spans="1:4" x14ac:dyDescent="0.3">
      <c r="A82" s="53" t="s">
        <v>99</v>
      </c>
      <c r="B82" s="135"/>
      <c r="C82" s="136">
        <f>(C81/B81-1)*100</f>
        <v>26.179257352275332</v>
      </c>
      <c r="D82" s="137">
        <f>(D81/C81-1)*100</f>
        <v>-17.279482875878937</v>
      </c>
    </row>
    <row r="83" spans="1:4" x14ac:dyDescent="0.3">
      <c r="D83" s="59"/>
    </row>
    <row r="84" spans="1:4" x14ac:dyDescent="0.3">
      <c r="A84" s="76" t="s">
        <v>148</v>
      </c>
      <c r="B84" s="77">
        <v>3258.26</v>
      </c>
      <c r="C84" s="77">
        <v>0</v>
      </c>
      <c r="D84" s="78">
        <v>1313.64</v>
      </c>
    </row>
    <row r="85" spans="1:4" x14ac:dyDescent="0.3">
      <c r="D85" s="59"/>
    </row>
    <row r="86" spans="1:4" x14ac:dyDescent="0.3">
      <c r="A86" s="79" t="s">
        <v>149</v>
      </c>
      <c r="B86" s="129">
        <f>B81-B84</f>
        <v>1822.4800000000023</v>
      </c>
      <c r="C86" s="129">
        <f t="shared" ref="C86:D86" si="13">C81-C84</f>
        <v>6410.8399999999965</v>
      </c>
      <c r="D86" s="130">
        <f t="shared" si="13"/>
        <v>3989.4399999999996</v>
      </c>
    </row>
    <row r="87" spans="1:4" x14ac:dyDescent="0.3">
      <c r="A87" s="53" t="s">
        <v>99</v>
      </c>
      <c r="B87" s="135"/>
      <c r="C87" s="136">
        <f>(C86/B86-1)*100</f>
        <v>251.76462841841825</v>
      </c>
      <c r="D87" s="137">
        <f>(D86/C86-1)*100</f>
        <v>-37.770401382658093</v>
      </c>
    </row>
    <row r="88" spans="1:4" x14ac:dyDescent="0.3">
      <c r="D88" s="59"/>
    </row>
    <row r="89" spans="1:4" outlineLevel="1" x14ac:dyDescent="0.3">
      <c r="A89" s="35" t="s">
        <v>150</v>
      </c>
      <c r="B89" s="36">
        <v>2596.54</v>
      </c>
      <c r="C89" s="1">
        <v>272.19</v>
      </c>
      <c r="D89" s="57">
        <v>1579.42</v>
      </c>
    </row>
    <row r="90" spans="1:4" outlineLevel="1" x14ac:dyDescent="0.3">
      <c r="A90" s="35" t="s">
        <v>246</v>
      </c>
      <c r="B90" s="36">
        <v>0</v>
      </c>
      <c r="C90" s="37">
        <v>-12.25</v>
      </c>
      <c r="D90" s="59">
        <v>0</v>
      </c>
    </row>
    <row r="91" spans="1:4" outlineLevel="1" x14ac:dyDescent="0.3">
      <c r="A91" s="35" t="s">
        <v>249</v>
      </c>
      <c r="B91" s="35">
        <v>-2151.3000000000002</v>
      </c>
      <c r="C91" s="5">
        <v>1617.46</v>
      </c>
      <c r="D91" s="59">
        <v>-353.52</v>
      </c>
    </row>
    <row r="92" spans="1:4" x14ac:dyDescent="0.3">
      <c r="A92" s="77" t="s">
        <v>152</v>
      </c>
      <c r="B92" s="90">
        <f>SUM(B89:B91)</f>
        <v>445.23999999999978</v>
      </c>
      <c r="C92" s="90">
        <f t="shared" ref="C92:D92" si="14">SUM(C89:C91)</f>
        <v>1877.4</v>
      </c>
      <c r="D92" s="131">
        <f t="shared" si="14"/>
        <v>1225.9000000000001</v>
      </c>
    </row>
    <row r="93" spans="1:4" x14ac:dyDescent="0.3">
      <c r="A93" s="53" t="s">
        <v>99</v>
      </c>
      <c r="C93" s="37">
        <f>(C92/B92-1)*100</f>
        <v>321.66022819153739</v>
      </c>
      <c r="D93" s="137">
        <f>(D92/C92-1)*100</f>
        <v>-34.702247789496113</v>
      </c>
    </row>
    <row r="94" spans="1:4" x14ac:dyDescent="0.3">
      <c r="D94" s="59"/>
    </row>
    <row r="95" spans="1:4" x14ac:dyDescent="0.3">
      <c r="A95" s="77" t="s">
        <v>153</v>
      </c>
      <c r="B95" s="90">
        <f>B86-B92</f>
        <v>1377.2400000000025</v>
      </c>
      <c r="C95" s="90">
        <f t="shared" ref="C95:D95" si="15">C86-C92</f>
        <v>4533.4399999999969</v>
      </c>
      <c r="D95" s="131">
        <f t="shared" si="15"/>
        <v>2763.5399999999995</v>
      </c>
    </row>
    <row r="96" spans="1:4" x14ac:dyDescent="0.3">
      <c r="A96" s="54" t="s">
        <v>99</v>
      </c>
      <c r="B96" s="135"/>
      <c r="C96" s="136">
        <f>(C95/B95-1)*100</f>
        <v>229.16848189131804</v>
      </c>
      <c r="D96" s="137">
        <f>(D95/C95-1)*100</f>
        <v>-39.040993153102242</v>
      </c>
    </row>
    <row r="97" spans="1:4" ht="16.2" thickBot="1" x14ac:dyDescent="0.35">
      <c r="A97" s="138"/>
      <c r="B97" s="139"/>
      <c r="C97" s="140"/>
      <c r="D97" s="141"/>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3A4D-22C1-774A-AFEF-1FCD3BDB45D4}">
  <dimension ref="A1:F108"/>
  <sheetViews>
    <sheetView zoomScale="95" workbookViewId="0">
      <pane ySplit="3" topLeftCell="A4" activePane="bottomLeft" state="frozen"/>
      <selection pane="bottomLeft" activeCell="D65" sqref="D65"/>
    </sheetView>
  </sheetViews>
  <sheetFormatPr defaultColWidth="10.796875" defaultRowHeight="15.6" outlineLevelRow="1" x14ac:dyDescent="0.3"/>
  <cols>
    <col min="1" max="1" width="10" style="1" customWidth="1"/>
    <col min="2" max="2" width="64.796875" style="2" bestFit="1" customWidth="1"/>
    <col min="3" max="3" width="14.796875" style="2" customWidth="1"/>
    <col min="4" max="4" width="14.796875" style="3" customWidth="1"/>
    <col min="5" max="5" width="14.5" style="3" customWidth="1"/>
    <col min="6" max="6" width="14.69921875" style="3" customWidth="1"/>
    <col min="7" max="16384" width="10.796875" style="1"/>
  </cols>
  <sheetData>
    <row r="1" spans="1:6" ht="67.95" customHeight="1" thickBot="1" x14ac:dyDescent="0.35">
      <c r="A1" s="218" t="s">
        <v>0</v>
      </c>
      <c r="B1" s="218"/>
      <c r="C1" s="218"/>
      <c r="D1" s="218"/>
      <c r="E1" s="218"/>
      <c r="F1" s="218"/>
    </row>
    <row r="2" spans="1:6" ht="16.8" thickTop="1" thickBot="1" x14ac:dyDescent="0.35"/>
    <row r="3" spans="1:6" ht="25.05" customHeight="1" thickTop="1" thickBot="1" x14ac:dyDescent="0.35">
      <c r="A3" s="10" t="s">
        <v>10</v>
      </c>
      <c r="B3" s="11" t="s">
        <v>11</v>
      </c>
      <c r="C3" s="12" t="s">
        <v>166</v>
      </c>
      <c r="D3" s="12" t="s">
        <v>3</v>
      </c>
      <c r="E3" s="12" t="s">
        <v>4</v>
      </c>
      <c r="F3" s="13" t="s">
        <v>5</v>
      </c>
    </row>
    <row r="4" spans="1:6" ht="30" customHeight="1" x14ac:dyDescent="0.3">
      <c r="A4" s="219" t="s">
        <v>8</v>
      </c>
      <c r="B4" s="220"/>
      <c r="C4" s="220"/>
      <c r="D4" s="220"/>
      <c r="E4" s="220"/>
      <c r="F4" s="221"/>
    </row>
    <row r="5" spans="1:6" x14ac:dyDescent="0.3">
      <c r="A5" s="28" t="s">
        <v>12</v>
      </c>
      <c r="B5" s="29" t="s">
        <v>13</v>
      </c>
      <c r="C5" s="29"/>
      <c r="D5" s="4"/>
      <c r="E5" s="4"/>
      <c r="F5" s="15"/>
    </row>
    <row r="6" spans="1:6" outlineLevel="1" x14ac:dyDescent="0.3">
      <c r="A6" s="16" t="s">
        <v>14</v>
      </c>
      <c r="B6" s="1" t="s">
        <v>15</v>
      </c>
      <c r="C6" s="5">
        <v>87946.22</v>
      </c>
      <c r="D6" s="5">
        <v>91934.87</v>
      </c>
      <c r="E6" s="5">
        <v>92358.28</v>
      </c>
      <c r="F6" s="17">
        <v>93203.83</v>
      </c>
    </row>
    <row r="7" spans="1:6" outlineLevel="1" x14ac:dyDescent="0.3">
      <c r="A7" s="16" t="s">
        <v>16</v>
      </c>
      <c r="B7" s="1" t="s">
        <v>17</v>
      </c>
      <c r="C7" s="5">
        <v>14159.32</v>
      </c>
      <c r="D7" s="5">
        <v>21677.96</v>
      </c>
      <c r="E7" s="5">
        <v>27562.62</v>
      </c>
      <c r="F7" s="17">
        <v>34189.06</v>
      </c>
    </row>
    <row r="8" spans="1:6" outlineLevel="1" x14ac:dyDescent="0.3">
      <c r="A8" s="16" t="s">
        <v>18</v>
      </c>
      <c r="B8" s="1" t="s">
        <v>19</v>
      </c>
      <c r="C8" s="5">
        <v>5538.18</v>
      </c>
      <c r="D8" s="5">
        <v>5297.33</v>
      </c>
      <c r="E8" s="5">
        <v>5066.37</v>
      </c>
      <c r="F8" s="17">
        <v>5342.89</v>
      </c>
    </row>
    <row r="9" spans="1:6" outlineLevel="1" x14ac:dyDescent="0.3">
      <c r="A9" s="16" t="s">
        <v>20</v>
      </c>
      <c r="B9" s="1" t="s">
        <v>21</v>
      </c>
      <c r="C9" s="1">
        <v>0</v>
      </c>
      <c r="D9" s="5">
        <v>12.66</v>
      </c>
      <c r="E9" s="5">
        <v>12.66</v>
      </c>
      <c r="F9" s="17">
        <v>12.66</v>
      </c>
    </row>
    <row r="10" spans="1:6" outlineLevel="1" x14ac:dyDescent="0.3">
      <c r="A10" s="16" t="s">
        <v>22</v>
      </c>
      <c r="B10" s="1" t="s">
        <v>23</v>
      </c>
      <c r="C10" s="1">
        <v>806.03</v>
      </c>
      <c r="D10" s="5">
        <v>1234.1400000000001</v>
      </c>
      <c r="E10" s="5">
        <v>968.2</v>
      </c>
      <c r="F10" s="17">
        <v>919.68</v>
      </c>
    </row>
    <row r="11" spans="1:6" outlineLevel="1" x14ac:dyDescent="0.3">
      <c r="A11" s="16" t="s">
        <v>24</v>
      </c>
      <c r="B11" s="1" t="s">
        <v>25</v>
      </c>
      <c r="C11" s="1">
        <v>382.64</v>
      </c>
      <c r="D11" s="5">
        <v>514.96</v>
      </c>
      <c r="E11" s="5">
        <v>532.59</v>
      </c>
      <c r="F11" s="17">
        <v>671.24</v>
      </c>
    </row>
    <row r="12" spans="1:6" outlineLevel="1" x14ac:dyDescent="0.3">
      <c r="A12" s="16" t="s">
        <v>26</v>
      </c>
      <c r="B12" s="1" t="s">
        <v>27</v>
      </c>
      <c r="C12" s="1"/>
      <c r="D12" s="1"/>
      <c r="E12" s="1"/>
      <c r="F12" s="18"/>
    </row>
    <row r="13" spans="1:6" outlineLevel="1" x14ac:dyDescent="0.3">
      <c r="A13" s="16" t="s">
        <v>28</v>
      </c>
      <c r="B13" s="1" t="s">
        <v>29</v>
      </c>
      <c r="C13" s="5">
        <v>43401.43</v>
      </c>
      <c r="D13" s="5">
        <v>40288.44</v>
      </c>
      <c r="E13" s="5">
        <v>66240</v>
      </c>
      <c r="F13" s="17">
        <v>72699.009999999995</v>
      </c>
    </row>
    <row r="14" spans="1:6" outlineLevel="1" x14ac:dyDescent="0.3">
      <c r="A14" s="16" t="s">
        <v>30</v>
      </c>
      <c r="B14" s="1" t="s">
        <v>31</v>
      </c>
      <c r="C14" s="5">
        <v>30195.27</v>
      </c>
      <c r="D14" s="5">
        <v>32275.99</v>
      </c>
      <c r="E14" s="5">
        <v>8436.0300000000007</v>
      </c>
      <c r="F14" s="17">
        <v>4816.22</v>
      </c>
    </row>
    <row r="15" spans="1:6" outlineLevel="1" x14ac:dyDescent="0.3">
      <c r="A15" s="16" t="s">
        <v>32</v>
      </c>
      <c r="B15" s="1" t="s">
        <v>33</v>
      </c>
      <c r="C15" s="1">
        <v>133.21</v>
      </c>
      <c r="D15" s="5">
        <v>403.4</v>
      </c>
      <c r="E15" s="5">
        <v>265.81</v>
      </c>
      <c r="F15" s="17">
        <v>0</v>
      </c>
    </row>
    <row r="16" spans="1:6" outlineLevel="1" x14ac:dyDescent="0.3">
      <c r="A16" s="16" t="s">
        <v>34</v>
      </c>
      <c r="B16" s="1" t="s">
        <v>35</v>
      </c>
      <c r="C16" s="5">
        <v>1211.81</v>
      </c>
      <c r="D16" s="5">
        <v>2293.3000000000002</v>
      </c>
      <c r="E16" s="5">
        <v>1626.03</v>
      </c>
      <c r="F16" s="17">
        <v>2015.58</v>
      </c>
    </row>
    <row r="17" spans="1:6" outlineLevel="1" x14ac:dyDescent="0.3">
      <c r="A17" s="16" t="s">
        <v>36</v>
      </c>
      <c r="B17" s="1" t="s">
        <v>37</v>
      </c>
      <c r="C17" s="5">
        <v>3620.76</v>
      </c>
      <c r="D17" s="5">
        <v>4312.42</v>
      </c>
      <c r="E17" s="5">
        <v>4705.34</v>
      </c>
      <c r="F17" s="17">
        <v>3763.2</v>
      </c>
    </row>
    <row r="18" spans="1:6" outlineLevel="1" x14ac:dyDescent="0.3">
      <c r="A18" s="16" t="s">
        <v>28</v>
      </c>
      <c r="B18" s="1" t="s">
        <v>38</v>
      </c>
      <c r="C18" s="5">
        <v>3301.78</v>
      </c>
      <c r="D18" s="5">
        <v>3539.04</v>
      </c>
      <c r="E18" s="5">
        <v>3129.36</v>
      </c>
      <c r="F18" s="17">
        <v>2796.47</v>
      </c>
    </row>
    <row r="19" spans="1:6" x14ac:dyDescent="0.3">
      <c r="A19" s="19"/>
      <c r="B19" s="4" t="s">
        <v>39</v>
      </c>
      <c r="C19" s="6">
        <f>SUM(C6:C18)</f>
        <v>190696.65</v>
      </c>
      <c r="D19" s="33">
        <f>SUM(D6:D18)</f>
        <v>203784.50999999998</v>
      </c>
      <c r="E19" s="33">
        <f t="shared" ref="E19:F19" si="0">SUM(E6:E18)</f>
        <v>210903.28999999995</v>
      </c>
      <c r="F19" s="34">
        <f t="shared" si="0"/>
        <v>220429.84</v>
      </c>
    </row>
    <row r="20" spans="1:6" x14ac:dyDescent="0.3">
      <c r="A20" s="28" t="s">
        <v>40</v>
      </c>
      <c r="B20" s="29" t="s">
        <v>41</v>
      </c>
      <c r="C20" s="29"/>
      <c r="D20" s="4"/>
      <c r="E20" s="4"/>
      <c r="F20" s="15"/>
    </row>
    <row r="21" spans="1:6" outlineLevel="1" x14ac:dyDescent="0.3">
      <c r="A21" s="16" t="s">
        <v>14</v>
      </c>
      <c r="B21" s="1" t="s">
        <v>42</v>
      </c>
      <c r="C21" s="5">
        <v>19942.939999999999</v>
      </c>
      <c r="D21" s="5">
        <v>25510.52</v>
      </c>
      <c r="E21" s="5">
        <v>24655.78</v>
      </c>
      <c r="F21" s="17">
        <v>22933.85</v>
      </c>
    </row>
    <row r="22" spans="1:6" outlineLevel="1" x14ac:dyDescent="0.3">
      <c r="A22" s="16" t="s">
        <v>16</v>
      </c>
      <c r="B22" s="1" t="s">
        <v>27</v>
      </c>
      <c r="C22" s="1"/>
      <c r="D22" s="1"/>
      <c r="E22" s="1"/>
      <c r="F22" s="18"/>
    </row>
    <row r="23" spans="1:6" outlineLevel="1" x14ac:dyDescent="0.3">
      <c r="A23" s="16" t="s">
        <v>28</v>
      </c>
      <c r="B23" s="1" t="s">
        <v>29</v>
      </c>
      <c r="C23" s="5">
        <v>96.11</v>
      </c>
      <c r="D23" s="5">
        <v>2994.48</v>
      </c>
      <c r="E23" s="5">
        <v>585.6</v>
      </c>
      <c r="F23" s="17">
        <v>0.12</v>
      </c>
    </row>
    <row r="24" spans="1:6" outlineLevel="1" x14ac:dyDescent="0.3">
      <c r="A24" s="16" t="s">
        <v>30</v>
      </c>
      <c r="B24" s="1" t="s">
        <v>43</v>
      </c>
      <c r="C24" s="5">
        <v>3280.3</v>
      </c>
      <c r="D24" s="5">
        <v>2565.56</v>
      </c>
      <c r="E24" s="5">
        <v>1595.94</v>
      </c>
      <c r="F24" s="17">
        <v>1565.65</v>
      </c>
    </row>
    <row r="25" spans="1:6" outlineLevel="1" x14ac:dyDescent="0.3">
      <c r="A25" s="16" t="s">
        <v>32</v>
      </c>
      <c r="B25" s="1" t="s">
        <v>44</v>
      </c>
      <c r="C25" s="5">
        <v>2671.59</v>
      </c>
      <c r="D25" s="5">
        <v>1211.31</v>
      </c>
      <c r="E25" s="5">
        <v>4556.8</v>
      </c>
      <c r="F25" s="17">
        <v>3111.93</v>
      </c>
    </row>
    <row r="26" spans="1:6" outlineLevel="1" x14ac:dyDescent="0.3">
      <c r="A26" s="16" t="s">
        <v>34</v>
      </c>
      <c r="B26" s="1" t="s">
        <v>45</v>
      </c>
      <c r="C26" s="1">
        <v>183.7</v>
      </c>
      <c r="D26" s="5">
        <v>1664.62</v>
      </c>
      <c r="E26" s="5">
        <v>1413.21</v>
      </c>
      <c r="F26" s="17">
        <v>1032.69</v>
      </c>
    </row>
    <row r="27" spans="1:6" outlineLevel="1" x14ac:dyDescent="0.3">
      <c r="A27" s="16" t="s">
        <v>46</v>
      </c>
      <c r="B27" s="1" t="s">
        <v>31</v>
      </c>
      <c r="C27" s="5">
        <v>2368.0100000000002</v>
      </c>
      <c r="D27" s="5">
        <v>1865.95</v>
      </c>
      <c r="E27" s="5">
        <v>81.06</v>
      </c>
      <c r="F27" s="17">
        <v>24.74</v>
      </c>
    </row>
    <row r="28" spans="1:6" outlineLevel="1" x14ac:dyDescent="0.3">
      <c r="A28" s="16" t="s">
        <v>47</v>
      </c>
      <c r="B28" s="1" t="s">
        <v>33</v>
      </c>
      <c r="C28" s="1">
        <v>89.54</v>
      </c>
      <c r="D28" s="5">
        <v>84.13</v>
      </c>
      <c r="E28" s="5">
        <v>83.41</v>
      </c>
      <c r="F28" s="17">
        <v>239.07</v>
      </c>
    </row>
    <row r="29" spans="1:6" outlineLevel="1" x14ac:dyDescent="0.3">
      <c r="A29" s="16" t="s">
        <v>48</v>
      </c>
      <c r="B29" s="1" t="s">
        <v>35</v>
      </c>
      <c r="C29" s="1">
        <v>718.3</v>
      </c>
      <c r="D29" s="5">
        <v>959.96</v>
      </c>
      <c r="E29" s="5">
        <v>893.81</v>
      </c>
      <c r="F29" s="17">
        <v>1163.58</v>
      </c>
    </row>
    <row r="30" spans="1:6" outlineLevel="1" x14ac:dyDescent="0.3">
      <c r="A30" s="16" t="s">
        <v>18</v>
      </c>
      <c r="B30" s="1" t="s">
        <v>38</v>
      </c>
      <c r="C30" s="5">
        <v>1939.08</v>
      </c>
      <c r="D30" s="5">
        <v>3770.44</v>
      </c>
      <c r="E30" s="5">
        <v>3157.45</v>
      </c>
      <c r="F30" s="17">
        <v>3631.27</v>
      </c>
    </row>
    <row r="31" spans="1:6" x14ac:dyDescent="0.3">
      <c r="A31" s="19"/>
      <c r="B31" s="4" t="s">
        <v>49</v>
      </c>
      <c r="C31" s="6">
        <f>SUM(C21:C30)</f>
        <v>31289.57</v>
      </c>
      <c r="D31" s="33">
        <f>SUM(D21:D30)</f>
        <v>40626.97</v>
      </c>
      <c r="E31" s="33">
        <f t="shared" ref="E31:F31" si="1">SUM(E21:E30)</f>
        <v>37023.05999999999</v>
      </c>
      <c r="F31" s="34">
        <f t="shared" si="1"/>
        <v>33702.899999999994</v>
      </c>
    </row>
    <row r="32" spans="1:6" x14ac:dyDescent="0.3">
      <c r="A32" s="31" t="s">
        <v>50</v>
      </c>
      <c r="B32" s="32" t="s">
        <v>51</v>
      </c>
      <c r="C32" s="1">
        <v>0</v>
      </c>
      <c r="D32" s="5">
        <v>8.23</v>
      </c>
      <c r="E32" s="5">
        <v>0</v>
      </c>
      <c r="F32" s="17">
        <v>0</v>
      </c>
    </row>
    <row r="33" spans="1:6" ht="25.05" customHeight="1" thickBot="1" x14ac:dyDescent="0.35">
      <c r="A33" s="225" t="s">
        <v>52</v>
      </c>
      <c r="B33" s="226"/>
      <c r="C33" s="64">
        <f>C19+C31+C32</f>
        <v>221986.22</v>
      </c>
      <c r="D33" s="64">
        <f>D19+D31+D32</f>
        <v>244419.71</v>
      </c>
      <c r="E33" s="64">
        <f t="shared" ref="E33:F33" si="2">E19+E31+E32</f>
        <v>247926.34999999995</v>
      </c>
      <c r="F33" s="65">
        <f t="shared" si="2"/>
        <v>254132.74</v>
      </c>
    </row>
    <row r="34" spans="1:6" ht="30" customHeight="1" x14ac:dyDescent="0.3">
      <c r="A34" s="222" t="s">
        <v>9</v>
      </c>
      <c r="B34" s="223"/>
      <c r="C34" s="223"/>
      <c r="D34" s="223"/>
      <c r="E34" s="223"/>
      <c r="F34" s="224"/>
    </row>
    <row r="35" spans="1:6" x14ac:dyDescent="0.3">
      <c r="A35" s="28" t="s">
        <v>53</v>
      </c>
      <c r="B35" s="29" t="s">
        <v>54</v>
      </c>
      <c r="C35" s="29"/>
      <c r="D35" s="7"/>
      <c r="E35" s="7"/>
      <c r="F35" s="22"/>
    </row>
    <row r="36" spans="1:6" hidden="1" outlineLevel="1" x14ac:dyDescent="0.3">
      <c r="A36" s="16" t="s">
        <v>14</v>
      </c>
      <c r="B36" s="1" t="s">
        <v>55</v>
      </c>
      <c r="C36" s="1">
        <v>1222.3699999999999</v>
      </c>
      <c r="D36" s="5">
        <v>1222.4000000000001</v>
      </c>
      <c r="E36" s="5">
        <v>1248.5999999999999</v>
      </c>
      <c r="F36" s="17">
        <v>1248.5999999999999</v>
      </c>
    </row>
    <row r="37" spans="1:6" hidden="1" outlineLevel="1" x14ac:dyDescent="0.3">
      <c r="A37" s="16" t="s">
        <v>16</v>
      </c>
      <c r="B37" s="1" t="s">
        <v>56</v>
      </c>
      <c r="C37" s="5">
        <v>124211.39</v>
      </c>
      <c r="D37" s="5">
        <v>137787.54999999999</v>
      </c>
      <c r="E37" s="5">
        <v>139980.87</v>
      </c>
      <c r="F37" s="17">
        <v>125483.34</v>
      </c>
    </row>
    <row r="38" spans="1:6" collapsed="1" x14ac:dyDescent="0.3">
      <c r="A38" s="19"/>
      <c r="B38" s="4" t="s">
        <v>57</v>
      </c>
      <c r="C38" s="4">
        <f>SUM(C36:C37)</f>
        <v>125433.76</v>
      </c>
      <c r="D38" s="6">
        <f>SUM(D36:D37)</f>
        <v>139009.94999999998</v>
      </c>
      <c r="E38" s="6">
        <f t="shared" ref="E38:F38" si="3">SUM(E36:E37)</f>
        <v>141229.47</v>
      </c>
      <c r="F38" s="20">
        <f t="shared" si="3"/>
        <v>126731.94</v>
      </c>
    </row>
    <row r="39" spans="1:6" x14ac:dyDescent="0.3">
      <c r="A39" s="28" t="s">
        <v>58</v>
      </c>
      <c r="B39" s="29" t="s">
        <v>59</v>
      </c>
      <c r="C39" s="29"/>
      <c r="D39" s="7"/>
      <c r="E39" s="7"/>
      <c r="F39" s="22"/>
    </row>
    <row r="40" spans="1:6" hidden="1" outlineLevel="1" x14ac:dyDescent="0.3">
      <c r="A40" s="16" t="s">
        <v>14</v>
      </c>
      <c r="B40" s="1" t="s">
        <v>60</v>
      </c>
      <c r="C40" s="1"/>
      <c r="D40" s="1"/>
      <c r="E40" s="1"/>
      <c r="F40" s="18"/>
    </row>
    <row r="41" spans="1:6" hidden="1" outlineLevel="1" x14ac:dyDescent="0.3">
      <c r="A41" s="16" t="s">
        <v>28</v>
      </c>
      <c r="B41" s="1" t="s">
        <v>61</v>
      </c>
      <c r="C41" s="5">
        <v>20290.810000000001</v>
      </c>
      <c r="D41" s="5">
        <v>31568.81</v>
      </c>
      <c r="E41" s="5">
        <v>36715.910000000003</v>
      </c>
      <c r="F41" s="17">
        <v>51040.98</v>
      </c>
    </row>
    <row r="42" spans="1:6" hidden="1" outlineLevel="1" x14ac:dyDescent="0.3">
      <c r="A42" s="16" t="s">
        <v>30</v>
      </c>
      <c r="B42" s="1" t="s">
        <v>62</v>
      </c>
      <c r="C42" s="5">
        <v>3726.9</v>
      </c>
      <c r="D42" s="5">
        <v>3158.56</v>
      </c>
      <c r="E42" s="5">
        <v>2746.91</v>
      </c>
      <c r="F42" s="17">
        <v>3177.06</v>
      </c>
    </row>
    <row r="43" spans="1:6" hidden="1" outlineLevel="1" x14ac:dyDescent="0.3">
      <c r="A43" s="16" t="s">
        <v>32</v>
      </c>
      <c r="B43" s="1" t="s">
        <v>63</v>
      </c>
      <c r="C43" s="1">
        <v>10.18</v>
      </c>
      <c r="D43" s="5">
        <v>0</v>
      </c>
      <c r="E43" s="5">
        <v>0</v>
      </c>
      <c r="F43" s="17">
        <v>46.26</v>
      </c>
    </row>
    <row r="44" spans="1:6" hidden="1" outlineLevel="1" x14ac:dyDescent="0.3">
      <c r="A44" s="16" t="s">
        <v>34</v>
      </c>
      <c r="B44" s="1" t="s">
        <v>64</v>
      </c>
      <c r="C44" s="1">
        <v>883.23</v>
      </c>
      <c r="D44" s="5">
        <v>1758.69</v>
      </c>
      <c r="E44" s="5">
        <v>1365.04</v>
      </c>
      <c r="F44" s="17">
        <v>1146.69</v>
      </c>
    </row>
    <row r="45" spans="1:6" hidden="1" outlineLevel="1" x14ac:dyDescent="0.3">
      <c r="A45" s="16" t="s">
        <v>16</v>
      </c>
      <c r="B45" s="1" t="s">
        <v>65</v>
      </c>
      <c r="C45" s="5">
        <v>2685</v>
      </c>
      <c r="D45" s="5">
        <v>2669.2</v>
      </c>
      <c r="E45" s="5">
        <v>2715.48</v>
      </c>
      <c r="F45" s="17">
        <v>3153.7</v>
      </c>
    </row>
    <row r="46" spans="1:6" hidden="1" outlineLevel="1" x14ac:dyDescent="0.3">
      <c r="A46" s="16" t="s">
        <v>18</v>
      </c>
      <c r="B46" s="1" t="s">
        <v>66</v>
      </c>
      <c r="C46" s="5">
        <v>2315.91</v>
      </c>
      <c r="D46" s="5">
        <v>2058.9299999999998</v>
      </c>
      <c r="E46" s="5">
        <v>2401.21</v>
      </c>
      <c r="F46" s="17">
        <v>2450.15</v>
      </c>
    </row>
    <row r="47" spans="1:6" hidden="1" outlineLevel="1" x14ac:dyDescent="0.3">
      <c r="A47" s="16" t="s">
        <v>20</v>
      </c>
      <c r="B47" s="1" t="s">
        <v>67</v>
      </c>
      <c r="C47" s="1">
        <v>0.74</v>
      </c>
      <c r="D47" s="5">
        <v>0.35</v>
      </c>
      <c r="E47" s="5">
        <v>279.11</v>
      </c>
      <c r="F47" s="17">
        <v>314.27999999999997</v>
      </c>
    </row>
    <row r="48" spans="1:6" hidden="1" outlineLevel="1" x14ac:dyDescent="0.3">
      <c r="A48" s="16" t="s">
        <v>22</v>
      </c>
      <c r="B48" s="1" t="s">
        <v>68</v>
      </c>
      <c r="C48" s="5">
        <v>8087.57</v>
      </c>
      <c r="D48" s="5">
        <v>8544.73</v>
      </c>
      <c r="E48" s="5">
        <v>8102</v>
      </c>
      <c r="F48" s="17">
        <v>9077.75</v>
      </c>
    </row>
    <row r="49" spans="1:6" hidden="1" outlineLevel="1" x14ac:dyDescent="0.3">
      <c r="A49" s="16" t="s">
        <v>24</v>
      </c>
      <c r="B49" s="1" t="s">
        <v>69</v>
      </c>
      <c r="C49" s="5">
        <v>4887.29</v>
      </c>
      <c r="D49" s="5">
        <v>3878.52</v>
      </c>
      <c r="E49" s="5">
        <v>2476.7800000000002</v>
      </c>
      <c r="F49" s="17">
        <v>2511.0100000000002</v>
      </c>
    </row>
    <row r="50" spans="1:6" collapsed="1" x14ac:dyDescent="0.3">
      <c r="A50" s="19"/>
      <c r="B50" s="4" t="s">
        <v>70</v>
      </c>
      <c r="C50" s="6">
        <f>SUM(C41:C49)</f>
        <v>42887.630000000005</v>
      </c>
      <c r="D50" s="6">
        <f>SUM(D41:D49)</f>
        <v>53637.79</v>
      </c>
      <c r="E50" s="6">
        <f t="shared" ref="E50:F50" si="4">SUM(E41:E49)</f>
        <v>56802.44000000001</v>
      </c>
      <c r="F50" s="20">
        <f t="shared" si="4"/>
        <v>72917.87999999999</v>
      </c>
    </row>
    <row r="51" spans="1:6" x14ac:dyDescent="0.3">
      <c r="A51" s="28" t="s">
        <v>71</v>
      </c>
      <c r="B51" s="29" t="s">
        <v>72</v>
      </c>
      <c r="C51" s="29"/>
      <c r="D51" s="7"/>
      <c r="E51" s="7"/>
      <c r="F51" s="22"/>
    </row>
    <row r="52" spans="1:6" hidden="1" outlineLevel="1" x14ac:dyDescent="0.3">
      <c r="A52" s="16" t="s">
        <v>14</v>
      </c>
      <c r="B52" s="1" t="s">
        <v>60</v>
      </c>
      <c r="C52" s="1"/>
      <c r="D52" s="1"/>
      <c r="E52" s="1"/>
      <c r="F52" s="18"/>
    </row>
    <row r="53" spans="1:6" hidden="1" outlineLevel="1" x14ac:dyDescent="0.3">
      <c r="A53" s="16" t="s">
        <v>28</v>
      </c>
      <c r="B53" s="1" t="s">
        <v>61</v>
      </c>
      <c r="C53" s="5">
        <v>11984.66</v>
      </c>
      <c r="D53" s="5">
        <v>7298.12</v>
      </c>
      <c r="E53" s="5">
        <v>3841.52</v>
      </c>
      <c r="F53" s="17">
        <v>8640.44</v>
      </c>
    </row>
    <row r="54" spans="1:6" hidden="1" outlineLevel="1" x14ac:dyDescent="0.3">
      <c r="A54" s="16" t="s">
        <v>30</v>
      </c>
      <c r="B54" s="1" t="s">
        <v>62</v>
      </c>
      <c r="C54" s="1">
        <v>522.14</v>
      </c>
      <c r="D54" s="5">
        <v>532.99</v>
      </c>
      <c r="E54" s="5">
        <v>532.49</v>
      </c>
      <c r="F54" s="17">
        <v>364.91</v>
      </c>
    </row>
    <row r="55" spans="1:6" hidden="1" outlineLevel="1" x14ac:dyDescent="0.3">
      <c r="A55" s="16" t="s">
        <v>32</v>
      </c>
      <c r="B55" s="1" t="s">
        <v>73</v>
      </c>
      <c r="C55" s="1"/>
      <c r="D55" s="1"/>
      <c r="E55" s="1"/>
      <c r="F55" s="18"/>
    </row>
    <row r="56" spans="1:6" hidden="1" outlineLevel="1" x14ac:dyDescent="0.3">
      <c r="A56" s="14" t="s">
        <v>80</v>
      </c>
      <c r="B56" s="7" t="s">
        <v>74</v>
      </c>
      <c r="C56" s="7">
        <v>678.2</v>
      </c>
      <c r="D56" s="8">
        <v>874.92</v>
      </c>
      <c r="E56" s="8">
        <v>945.93</v>
      </c>
      <c r="F56" s="23">
        <v>1236.18</v>
      </c>
    </row>
    <row r="57" spans="1:6" hidden="1" outlineLevel="1" x14ac:dyDescent="0.3">
      <c r="A57" s="14" t="s">
        <v>81</v>
      </c>
      <c r="B57" s="7" t="s">
        <v>75</v>
      </c>
      <c r="C57" s="8">
        <v>20412.939999999999</v>
      </c>
      <c r="D57" s="8">
        <v>17662.919999999998</v>
      </c>
      <c r="E57" s="8">
        <v>19217.669999999998</v>
      </c>
      <c r="F57" s="23">
        <v>19364.93</v>
      </c>
    </row>
    <row r="58" spans="1:6" hidden="1" outlineLevel="1" x14ac:dyDescent="0.3">
      <c r="A58" s="16" t="s">
        <v>34</v>
      </c>
      <c r="B58" s="1" t="s">
        <v>63</v>
      </c>
      <c r="C58" s="1">
        <v>81.48</v>
      </c>
      <c r="D58" s="5">
        <v>68.510000000000005</v>
      </c>
      <c r="E58" s="5">
        <v>10.220000000000001</v>
      </c>
      <c r="F58" s="17">
        <v>126.4</v>
      </c>
    </row>
    <row r="59" spans="1:6" hidden="1" outlineLevel="1" x14ac:dyDescent="0.3">
      <c r="A59" s="16" t="s">
        <v>46</v>
      </c>
      <c r="B59" s="1" t="s">
        <v>64</v>
      </c>
      <c r="C59" s="5">
        <v>5137.54</v>
      </c>
      <c r="D59" s="5">
        <v>7956.74</v>
      </c>
      <c r="E59" s="5">
        <v>8511.41</v>
      </c>
      <c r="F59" s="17">
        <v>9847.89</v>
      </c>
    </row>
    <row r="60" spans="1:6" hidden="1" outlineLevel="1" x14ac:dyDescent="0.3">
      <c r="A60" s="16" t="s">
        <v>16</v>
      </c>
      <c r="B60" s="1" t="s">
        <v>65</v>
      </c>
      <c r="C60" s="5">
        <v>1082.42</v>
      </c>
      <c r="D60" s="5">
        <v>1969.43</v>
      </c>
      <c r="E60" s="5">
        <v>1147.67</v>
      </c>
      <c r="F60" s="17">
        <v>1191.3399999999999</v>
      </c>
    </row>
    <row r="61" spans="1:6" hidden="1" outlineLevel="1" x14ac:dyDescent="0.3">
      <c r="A61" s="16" t="s">
        <v>18</v>
      </c>
      <c r="B61" s="1" t="s">
        <v>66</v>
      </c>
      <c r="C61" s="1">
        <v>114.99</v>
      </c>
      <c r="D61" s="5">
        <v>146.21</v>
      </c>
      <c r="E61" s="5">
        <v>116.17</v>
      </c>
      <c r="F61" s="17">
        <v>122.88</v>
      </c>
    </row>
    <row r="62" spans="1:6" hidden="1" outlineLevel="1" x14ac:dyDescent="0.3">
      <c r="A62" s="16" t="s">
        <v>20</v>
      </c>
      <c r="B62" s="1" t="s">
        <v>67</v>
      </c>
      <c r="C62" s="1">
        <v>67.84</v>
      </c>
      <c r="D62" s="5">
        <v>84.61</v>
      </c>
      <c r="E62" s="5">
        <v>55.44</v>
      </c>
      <c r="F62" s="17">
        <v>22.22</v>
      </c>
    </row>
    <row r="63" spans="1:6" hidden="1" outlineLevel="1" x14ac:dyDescent="0.3">
      <c r="A63" s="16" t="s">
        <v>22</v>
      </c>
      <c r="B63" s="1" t="s">
        <v>76</v>
      </c>
      <c r="C63" s="5">
        <v>1079.69</v>
      </c>
      <c r="D63" s="5">
        <v>1703.92</v>
      </c>
      <c r="E63" s="5">
        <v>1355.82</v>
      </c>
      <c r="F63" s="17">
        <v>1451.98</v>
      </c>
    </row>
    <row r="64" spans="1:6" hidden="1" outlineLevel="1" x14ac:dyDescent="0.3">
      <c r="A64" s="16" t="s">
        <v>24</v>
      </c>
      <c r="B64" s="1" t="s">
        <v>69</v>
      </c>
      <c r="C64" s="5">
        <v>12502.93</v>
      </c>
      <c r="D64" s="5">
        <v>13473.6</v>
      </c>
      <c r="E64" s="5">
        <v>14160.1</v>
      </c>
      <c r="F64" s="17">
        <v>12113.75</v>
      </c>
    </row>
    <row r="65" spans="1:6" collapsed="1" x14ac:dyDescent="0.3">
      <c r="A65" s="24"/>
      <c r="B65" s="4" t="s">
        <v>77</v>
      </c>
      <c r="C65" s="6">
        <f>SUM(C53:C64)</f>
        <v>53664.83</v>
      </c>
      <c r="D65" s="6">
        <f>SUM(D53:D64)</f>
        <v>51771.969999999994</v>
      </c>
      <c r="E65" s="6">
        <f t="shared" ref="E65:F65" si="5">SUM(E53:E64)</f>
        <v>49894.44</v>
      </c>
      <c r="F65" s="20">
        <f t="shared" si="5"/>
        <v>54482.92</v>
      </c>
    </row>
    <row r="66" spans="1:6" x14ac:dyDescent="0.3">
      <c r="A66" s="24"/>
      <c r="B66" s="4" t="s">
        <v>78</v>
      </c>
      <c r="C66" s="6">
        <f>C50+C65</f>
        <v>96552.46</v>
      </c>
      <c r="D66" s="6">
        <f>D50+D65</f>
        <v>105409.76</v>
      </c>
      <c r="E66" s="6">
        <f t="shared" ref="E66:F66" si="6">E50+E65</f>
        <v>106696.88</v>
      </c>
      <c r="F66" s="20">
        <f t="shared" si="6"/>
        <v>127400.79999999999</v>
      </c>
    </row>
    <row r="67" spans="1:6" ht="25.05" customHeight="1" thickBot="1" x14ac:dyDescent="0.35">
      <c r="A67" s="225" t="s">
        <v>79</v>
      </c>
      <c r="B67" s="226"/>
      <c r="C67" s="64">
        <f>C38+C66</f>
        <v>221986.22</v>
      </c>
      <c r="D67" s="9">
        <f>D38+D66</f>
        <v>244419.70999999996</v>
      </c>
      <c r="E67" s="9">
        <f t="shared" ref="E67:F67" si="7">E38+E66</f>
        <v>247926.35</v>
      </c>
      <c r="F67" s="21">
        <f t="shared" si="7"/>
        <v>254132.74</v>
      </c>
    </row>
    <row r="68" spans="1:6" ht="16.2" thickBot="1" x14ac:dyDescent="0.35">
      <c r="A68" s="25"/>
      <c r="B68" s="30"/>
      <c r="C68" s="30"/>
      <c r="D68" s="26"/>
      <c r="E68" s="26"/>
      <c r="F68" s="27"/>
    </row>
    <row r="69" spans="1:6" ht="16.2" thickTop="1" x14ac:dyDescent="0.3"/>
    <row r="71" spans="1:6" s="83" customFormat="1" ht="34.950000000000003" customHeight="1" thickBot="1" x14ac:dyDescent="0.4">
      <c r="A71" s="216" t="s">
        <v>190</v>
      </c>
      <c r="B71" s="216"/>
      <c r="C71" s="216"/>
      <c r="D71" s="216"/>
      <c r="E71" s="216"/>
      <c r="F71" s="216"/>
    </row>
    <row r="72" spans="1:6" ht="16.2" thickTop="1" x14ac:dyDescent="0.3"/>
    <row r="73" spans="1:6" ht="19.95" customHeight="1" thickBot="1" x14ac:dyDescent="0.35">
      <c r="A73" s="217" t="s">
        <v>198</v>
      </c>
      <c r="B73" s="217"/>
      <c r="C73" s="217"/>
      <c r="D73" s="217"/>
      <c r="E73" s="217"/>
      <c r="F73" s="217"/>
    </row>
    <row r="74" spans="1:6" ht="16.2" thickBot="1" x14ac:dyDescent="0.35"/>
    <row r="75" spans="1:6" ht="25.05" customHeight="1" thickTop="1" thickBot="1" x14ac:dyDescent="0.35">
      <c r="A75" s="100" t="s">
        <v>10</v>
      </c>
      <c r="B75" s="105" t="s">
        <v>11</v>
      </c>
      <c r="C75" s="85" t="s">
        <v>166</v>
      </c>
      <c r="D75" s="86" t="s">
        <v>3</v>
      </c>
      <c r="E75" s="86" t="s">
        <v>4</v>
      </c>
      <c r="F75" s="87" t="s">
        <v>5</v>
      </c>
    </row>
    <row r="76" spans="1:6" x14ac:dyDescent="0.3">
      <c r="A76" s="101"/>
      <c r="B76" s="106"/>
      <c r="C76" s="88"/>
      <c r="D76" s="89"/>
      <c r="E76" s="89"/>
      <c r="F76" s="60"/>
    </row>
    <row r="77" spans="1:6" x14ac:dyDescent="0.3">
      <c r="A77" s="101" t="s">
        <v>14</v>
      </c>
      <c r="B77" s="106" t="s">
        <v>191</v>
      </c>
      <c r="C77" s="88"/>
      <c r="D77" s="89"/>
      <c r="E77" s="89"/>
      <c r="F77" s="60"/>
    </row>
    <row r="78" spans="1:6" x14ac:dyDescent="0.3">
      <c r="A78" s="101" t="s">
        <v>28</v>
      </c>
      <c r="B78" s="106" t="s">
        <v>192</v>
      </c>
      <c r="C78" s="88">
        <v>2714.29</v>
      </c>
      <c r="D78" s="89">
        <v>2751.17</v>
      </c>
      <c r="E78" s="89">
        <v>2829.25</v>
      </c>
      <c r="F78" s="60">
        <v>0</v>
      </c>
    </row>
    <row r="79" spans="1:6" ht="16.05" customHeight="1" x14ac:dyDescent="0.3">
      <c r="A79" s="101" t="s">
        <v>30</v>
      </c>
      <c r="B79" s="106" t="s">
        <v>200</v>
      </c>
      <c r="C79" s="88">
        <v>0</v>
      </c>
      <c r="D79" s="89">
        <v>687.92</v>
      </c>
      <c r="E79" s="89">
        <v>0</v>
      </c>
      <c r="F79" s="60">
        <v>0</v>
      </c>
    </row>
    <row r="80" spans="1:6" x14ac:dyDescent="0.3">
      <c r="A80" s="102"/>
      <c r="B80" s="107" t="s">
        <v>193</v>
      </c>
      <c r="C80" s="90">
        <f>SUM(C78:C79)</f>
        <v>2714.29</v>
      </c>
      <c r="D80" s="91">
        <f>SUM(D78:D79)</f>
        <v>3439.09</v>
      </c>
      <c r="E80" s="91">
        <f t="shared" ref="E80:F80" si="8">SUM(E78:E79)</f>
        <v>2829.25</v>
      </c>
      <c r="F80" s="97">
        <f t="shared" si="8"/>
        <v>0</v>
      </c>
    </row>
    <row r="81" spans="1:6" x14ac:dyDescent="0.3">
      <c r="A81" s="101"/>
      <c r="B81" s="106"/>
      <c r="C81" s="88"/>
      <c r="D81" s="89"/>
      <c r="E81" s="89"/>
      <c r="F81" s="60"/>
    </row>
    <row r="82" spans="1:6" x14ac:dyDescent="0.3">
      <c r="A82" s="101" t="s">
        <v>16</v>
      </c>
      <c r="B82" s="106" t="s">
        <v>194</v>
      </c>
      <c r="C82" s="88"/>
      <c r="D82" s="89"/>
      <c r="E82" s="89"/>
      <c r="F82" s="60"/>
    </row>
    <row r="83" spans="1:6" x14ac:dyDescent="0.3">
      <c r="A83" s="101" t="s">
        <v>28</v>
      </c>
      <c r="B83" s="106" t="s">
        <v>195</v>
      </c>
      <c r="C83" s="88">
        <v>10899.62</v>
      </c>
      <c r="D83" s="89">
        <v>10125.219999999999</v>
      </c>
      <c r="E83" s="89">
        <v>12153.28</v>
      </c>
      <c r="F83" s="60">
        <v>15156.26</v>
      </c>
    </row>
    <row r="84" spans="1:6" s="84" customFormat="1" ht="16.05" customHeight="1" x14ac:dyDescent="0.3">
      <c r="A84" s="101" t="s">
        <v>30</v>
      </c>
      <c r="B84" s="106" t="s">
        <v>196</v>
      </c>
      <c r="C84" s="88">
        <v>6676.9</v>
      </c>
      <c r="D84" s="89">
        <v>18004.5</v>
      </c>
      <c r="E84" s="89">
        <v>21733.38</v>
      </c>
      <c r="F84" s="60">
        <v>35884.720000000001</v>
      </c>
    </row>
    <row r="85" spans="1:6" x14ac:dyDescent="0.3">
      <c r="A85" s="102"/>
      <c r="B85" s="107" t="s">
        <v>197</v>
      </c>
      <c r="C85" s="90">
        <f>SUM(C83:C84)</f>
        <v>17576.52</v>
      </c>
      <c r="D85" s="90">
        <f>SUM(D83:D84)</f>
        <v>28129.72</v>
      </c>
      <c r="E85" s="90">
        <f t="shared" ref="E85:F85" si="9">SUM(E83:E84)</f>
        <v>33886.660000000003</v>
      </c>
      <c r="F85" s="98">
        <f t="shared" si="9"/>
        <v>51040.98</v>
      </c>
    </row>
    <row r="86" spans="1:6" ht="19.95" customHeight="1" x14ac:dyDescent="0.3">
      <c r="A86" s="101"/>
      <c r="B86" s="106"/>
      <c r="C86" s="88"/>
      <c r="D86" s="89"/>
      <c r="E86" s="89"/>
      <c r="F86" s="60"/>
    </row>
    <row r="87" spans="1:6" ht="16.2" thickBot="1" x14ac:dyDescent="0.35">
      <c r="A87" s="103"/>
      <c r="B87" s="108" t="s">
        <v>199</v>
      </c>
      <c r="C87" s="92">
        <f>C80+C85</f>
        <v>20290.810000000001</v>
      </c>
      <c r="D87" s="92">
        <f>D80+D85</f>
        <v>31568.81</v>
      </c>
      <c r="E87" s="92">
        <f t="shared" ref="E87:F87" si="10">E80+E85</f>
        <v>36715.910000000003</v>
      </c>
      <c r="F87" s="99">
        <f t="shared" si="10"/>
        <v>51040.98</v>
      </c>
    </row>
    <row r="88" spans="1:6" ht="16.2" thickBot="1" x14ac:dyDescent="0.35">
      <c r="A88" s="104"/>
      <c r="B88" s="109"/>
      <c r="C88" s="94"/>
      <c r="D88" s="95"/>
      <c r="E88" s="95"/>
      <c r="F88" s="96"/>
    </row>
    <row r="89" spans="1:6" ht="16.2" thickTop="1" x14ac:dyDescent="0.3"/>
    <row r="91" spans="1:6" ht="19.95" customHeight="1" thickBot="1" x14ac:dyDescent="0.35">
      <c r="A91" s="217" t="s">
        <v>201</v>
      </c>
      <c r="B91" s="217"/>
      <c r="C91" s="217"/>
      <c r="D91" s="217"/>
      <c r="E91" s="217"/>
      <c r="F91" s="217"/>
    </row>
    <row r="92" spans="1:6" ht="16.2" thickBot="1" x14ac:dyDescent="0.35"/>
    <row r="93" spans="1:6" ht="25.05" customHeight="1" thickTop="1" thickBot="1" x14ac:dyDescent="0.35">
      <c r="A93" s="100" t="s">
        <v>10</v>
      </c>
      <c r="B93" s="105" t="s">
        <v>11</v>
      </c>
      <c r="C93" s="85" t="s">
        <v>166</v>
      </c>
      <c r="D93" s="86" t="s">
        <v>3</v>
      </c>
      <c r="E93" s="86" t="s">
        <v>4</v>
      </c>
      <c r="F93" s="87" t="s">
        <v>5</v>
      </c>
    </row>
    <row r="94" spans="1:6" x14ac:dyDescent="0.3">
      <c r="A94" s="101"/>
      <c r="B94" s="88"/>
      <c r="C94" s="88"/>
      <c r="D94" s="89"/>
      <c r="E94" s="89"/>
      <c r="F94" s="60"/>
    </row>
    <row r="95" spans="1:6" x14ac:dyDescent="0.3">
      <c r="A95" s="101" t="s">
        <v>14</v>
      </c>
      <c r="B95" s="106" t="s">
        <v>191</v>
      </c>
      <c r="C95" s="88"/>
      <c r="D95" s="89"/>
      <c r="E95" s="89"/>
      <c r="F95" s="60"/>
    </row>
    <row r="96" spans="1:6" x14ac:dyDescent="0.3">
      <c r="A96" s="101" t="s">
        <v>28</v>
      </c>
      <c r="B96" s="106" t="s">
        <v>202</v>
      </c>
      <c r="C96" s="88">
        <v>0.85</v>
      </c>
      <c r="D96" s="89">
        <v>1003.45</v>
      </c>
      <c r="E96" s="89">
        <v>0</v>
      </c>
      <c r="F96" s="60">
        <v>0.82</v>
      </c>
    </row>
    <row r="97" spans="1:6" x14ac:dyDescent="0.3">
      <c r="A97" s="101" t="s">
        <v>30</v>
      </c>
      <c r="B97" s="106" t="s">
        <v>203</v>
      </c>
      <c r="C97" s="88">
        <v>0</v>
      </c>
      <c r="D97" s="88">
        <v>0</v>
      </c>
      <c r="E97" s="89">
        <v>0</v>
      </c>
      <c r="F97" s="60">
        <v>2907.12</v>
      </c>
    </row>
    <row r="98" spans="1:6" x14ac:dyDescent="0.3">
      <c r="A98" s="102"/>
      <c r="B98" s="107" t="s">
        <v>193</v>
      </c>
      <c r="C98" s="90">
        <f>SUM(C96:C97)</f>
        <v>0.85</v>
      </c>
      <c r="D98" s="90">
        <f>SUM(D96:D97)</f>
        <v>1003.45</v>
      </c>
      <c r="E98" s="90">
        <f>SUM(E96:E97)</f>
        <v>0</v>
      </c>
      <c r="F98" s="98">
        <f>SUM(F96:F97)</f>
        <v>2907.94</v>
      </c>
    </row>
    <row r="99" spans="1:6" x14ac:dyDescent="0.3">
      <c r="A99" s="101"/>
      <c r="B99" s="106"/>
      <c r="C99" s="88"/>
      <c r="D99" s="89"/>
      <c r="E99" s="89"/>
      <c r="F99" s="60"/>
    </row>
    <row r="100" spans="1:6" x14ac:dyDescent="0.3">
      <c r="A100" s="101" t="s">
        <v>16</v>
      </c>
      <c r="B100" s="106" t="s">
        <v>194</v>
      </c>
      <c r="C100" s="88"/>
      <c r="D100" s="89"/>
      <c r="E100" s="89"/>
      <c r="F100" s="60"/>
    </row>
    <row r="101" spans="1:6" x14ac:dyDescent="0.3">
      <c r="A101" s="101" t="s">
        <v>28</v>
      </c>
      <c r="B101" s="106" t="s">
        <v>204</v>
      </c>
      <c r="C101" s="88">
        <v>4800</v>
      </c>
      <c r="D101" s="89">
        <v>0</v>
      </c>
      <c r="E101" s="89">
        <v>0</v>
      </c>
      <c r="F101" s="60">
        <v>1598.47</v>
      </c>
    </row>
    <row r="102" spans="1:6" x14ac:dyDescent="0.3">
      <c r="A102" s="101" t="s">
        <v>30</v>
      </c>
      <c r="B102" s="106" t="s">
        <v>205</v>
      </c>
      <c r="C102" s="88">
        <v>2855.74</v>
      </c>
      <c r="D102" s="89">
        <v>6294.67</v>
      </c>
      <c r="E102" s="89">
        <v>3841.52</v>
      </c>
      <c r="F102" s="60">
        <v>2161.04</v>
      </c>
    </row>
    <row r="103" spans="1:6" x14ac:dyDescent="0.3">
      <c r="A103" s="101" t="s">
        <v>32</v>
      </c>
      <c r="B103" s="106" t="s">
        <v>206</v>
      </c>
      <c r="C103" s="88">
        <v>4328.07</v>
      </c>
      <c r="D103" s="89">
        <v>0</v>
      </c>
      <c r="E103" s="89">
        <v>0</v>
      </c>
      <c r="F103" s="60">
        <v>1972.99</v>
      </c>
    </row>
    <row r="104" spans="1:6" x14ac:dyDescent="0.3">
      <c r="A104" s="102"/>
      <c r="B104" s="107" t="s">
        <v>197</v>
      </c>
      <c r="C104" s="90">
        <f>SUM(C101:C103)</f>
        <v>11983.81</v>
      </c>
      <c r="D104" s="90">
        <f>SUM(D101:D103)</f>
        <v>6294.67</v>
      </c>
      <c r="E104" s="90">
        <f>SUM(E101:E103)</f>
        <v>3841.52</v>
      </c>
      <c r="F104" s="98">
        <f>SUM(F101:F103)</f>
        <v>5732.5</v>
      </c>
    </row>
    <row r="105" spans="1:6" x14ac:dyDescent="0.3">
      <c r="A105" s="101"/>
      <c r="B105" s="106"/>
      <c r="C105" s="88"/>
      <c r="D105" s="89"/>
      <c r="E105" s="89"/>
      <c r="F105" s="60"/>
    </row>
    <row r="106" spans="1:6" ht="16.2" thickBot="1" x14ac:dyDescent="0.35">
      <c r="A106" s="103"/>
      <c r="B106" s="108" t="s">
        <v>207</v>
      </c>
      <c r="C106" s="92">
        <f>C98+C104</f>
        <v>11984.66</v>
      </c>
      <c r="D106" s="92">
        <f>D98+D104</f>
        <v>7298.12</v>
      </c>
      <c r="E106" s="92">
        <f>E98+E104</f>
        <v>3841.52</v>
      </c>
      <c r="F106" s="99">
        <f>F98+F104</f>
        <v>8640.44</v>
      </c>
    </row>
    <row r="107" spans="1:6" ht="16.2" thickBot="1" x14ac:dyDescent="0.35">
      <c r="A107" s="93"/>
      <c r="B107" s="94"/>
      <c r="C107" s="94"/>
      <c r="D107" s="95"/>
      <c r="E107" s="95"/>
      <c r="F107" s="96"/>
    </row>
    <row r="108" spans="1:6" ht="16.2" thickTop="1" x14ac:dyDescent="0.3"/>
  </sheetData>
  <mergeCells count="8">
    <mergeCell ref="A71:F71"/>
    <mergeCell ref="A73:F73"/>
    <mergeCell ref="A91:F91"/>
    <mergeCell ref="A1:F1"/>
    <mergeCell ref="A4:F4"/>
    <mergeCell ref="A34:F34"/>
    <mergeCell ref="A33:B33"/>
    <mergeCell ref="A67:B67"/>
  </mergeCells>
  <phoneticPr fontId="1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C61BE-A3F8-C74B-ABDE-2FD2881249A0}">
  <dimension ref="A1:E99"/>
  <sheetViews>
    <sheetView workbookViewId="0">
      <pane ySplit="3" topLeftCell="A13" activePane="bottomLeft" state="frozen"/>
      <selection pane="bottomLeft" activeCell="C106" sqref="C106"/>
    </sheetView>
  </sheetViews>
  <sheetFormatPr defaultColWidth="10.796875" defaultRowHeight="15.6" outlineLevelRow="1" x14ac:dyDescent="0.3"/>
  <cols>
    <col min="1" max="1" width="75.796875" style="35" bestFit="1" customWidth="1"/>
    <col min="2" max="2" width="12" style="36" bestFit="1" customWidth="1"/>
    <col min="3" max="4" width="12" style="37" bestFit="1" customWidth="1"/>
    <col min="5" max="5" width="12.19921875" style="37" bestFit="1" customWidth="1"/>
    <col min="6" max="16384" width="10.796875" style="35"/>
  </cols>
  <sheetData>
    <row r="1" spans="1:5" ht="67.95" customHeight="1" thickBot="1" x14ac:dyDescent="0.35">
      <c r="A1" s="206" t="s">
        <v>219</v>
      </c>
      <c r="B1" s="206"/>
      <c r="C1" s="206"/>
      <c r="D1" s="206"/>
      <c r="E1" s="35"/>
    </row>
    <row r="2" spans="1:5" ht="16.8" thickTop="1" thickBot="1" x14ac:dyDescent="0.35"/>
    <row r="3" spans="1:5" ht="25.05" customHeight="1" thickBot="1" x14ac:dyDescent="0.35">
      <c r="A3" s="66" t="s">
        <v>11</v>
      </c>
      <c r="B3" s="67" t="s">
        <v>3</v>
      </c>
      <c r="C3" s="67" t="s">
        <v>4</v>
      </c>
      <c r="D3" s="68" t="s">
        <v>5</v>
      </c>
      <c r="E3" s="35"/>
    </row>
    <row r="4" spans="1:5" ht="16.05" customHeight="1" outlineLevel="1" thickTop="1" x14ac:dyDescent="0.3">
      <c r="A4" s="44" t="s">
        <v>88</v>
      </c>
      <c r="B4" s="45">
        <v>139668.73000000001</v>
      </c>
      <c r="C4" s="45">
        <v>137285.56</v>
      </c>
      <c r="D4" s="46">
        <v>129303.98</v>
      </c>
      <c r="E4" s="35"/>
    </row>
    <row r="5" spans="1:5" outlineLevel="1" x14ac:dyDescent="0.3">
      <c r="A5" s="44" t="s">
        <v>89</v>
      </c>
      <c r="B5" s="45">
        <v>1775.15</v>
      </c>
      <c r="C5" s="35">
        <v>1800.37</v>
      </c>
      <c r="D5" s="46">
        <v>1561.54</v>
      </c>
      <c r="E5" s="35"/>
    </row>
    <row r="6" spans="1:5" outlineLevel="1" x14ac:dyDescent="0.3">
      <c r="A6" s="44" t="s">
        <v>90</v>
      </c>
      <c r="B6" s="45">
        <v>1469.44</v>
      </c>
      <c r="C6" s="45">
        <v>1846.72</v>
      </c>
      <c r="D6" s="46">
        <v>1651.14</v>
      </c>
      <c r="E6" s="35"/>
    </row>
    <row r="7" spans="1:5" x14ac:dyDescent="0.3">
      <c r="A7" s="69" t="s">
        <v>91</v>
      </c>
      <c r="B7" s="70">
        <f>SUM(B4:B6)</f>
        <v>142913.32</v>
      </c>
      <c r="C7" s="70">
        <f t="shared" ref="C7:D7" si="0">SUM(C4:C6)</f>
        <v>140932.65</v>
      </c>
      <c r="D7" s="71">
        <f t="shared" si="0"/>
        <v>132516.66</v>
      </c>
      <c r="E7" s="35"/>
    </row>
    <row r="8" spans="1:5" ht="16.05" customHeight="1" x14ac:dyDescent="0.3">
      <c r="A8" s="49" t="s">
        <v>92</v>
      </c>
      <c r="B8" s="50"/>
      <c r="C8" s="50">
        <f t="shared" ref="C8:D8" si="1">(C7/B7-1)*100</f>
        <v>-1.3859239992465411</v>
      </c>
      <c r="D8" s="51">
        <f t="shared" si="1"/>
        <v>-5.9716396448942</v>
      </c>
      <c r="E8" s="35"/>
    </row>
    <row r="9" spans="1:5" x14ac:dyDescent="0.3">
      <c r="A9" s="49"/>
      <c r="B9" s="50"/>
      <c r="C9" s="50"/>
      <c r="D9" s="51"/>
      <c r="E9" s="35"/>
    </row>
    <row r="10" spans="1:5" outlineLevel="1" x14ac:dyDescent="0.3">
      <c r="A10" s="49" t="s">
        <v>93</v>
      </c>
      <c r="B10" s="50">
        <v>59948.72</v>
      </c>
      <c r="C10" s="50">
        <v>48516.26</v>
      </c>
      <c r="D10" s="51">
        <v>44088.93</v>
      </c>
    </row>
    <row r="11" spans="1:5" outlineLevel="1" x14ac:dyDescent="0.3">
      <c r="A11" s="49" t="s">
        <v>94</v>
      </c>
      <c r="B11" s="50">
        <v>6630.38</v>
      </c>
      <c r="C11" s="50">
        <v>7206.89</v>
      </c>
      <c r="D11" s="51">
        <v>7111.41</v>
      </c>
    </row>
    <row r="12" spans="1:5" outlineLevel="1" x14ac:dyDescent="0.3">
      <c r="A12" s="49" t="s">
        <v>95</v>
      </c>
      <c r="B12" s="50">
        <v>3001.01</v>
      </c>
      <c r="C12" s="50">
        <v>2152.7399999999998</v>
      </c>
      <c r="D12" s="51">
        <v>2409.9299999999998</v>
      </c>
    </row>
    <row r="13" spans="1:5" outlineLevel="1" x14ac:dyDescent="0.3">
      <c r="A13" s="49" t="s">
        <v>96</v>
      </c>
      <c r="B13" s="50">
        <v>7424.21</v>
      </c>
      <c r="C13" s="50">
        <v>9699.77</v>
      </c>
      <c r="D13" s="51">
        <v>9825.5</v>
      </c>
    </row>
    <row r="14" spans="1:5" outlineLevel="1" x14ac:dyDescent="0.3">
      <c r="A14" s="49" t="s">
        <v>97</v>
      </c>
      <c r="B14" s="50">
        <v>-1329.69</v>
      </c>
      <c r="C14" s="50">
        <v>379.91</v>
      </c>
      <c r="D14" s="51">
        <v>330.66</v>
      </c>
    </row>
    <row r="15" spans="1:5" x14ac:dyDescent="0.3">
      <c r="A15" s="69" t="s">
        <v>98</v>
      </c>
      <c r="B15" s="70">
        <f>SUM(B10:B14)</f>
        <v>75674.63</v>
      </c>
      <c r="C15" s="70">
        <f>SUM(C10:C14)</f>
        <v>67955.570000000007</v>
      </c>
      <c r="D15" s="72">
        <f>SUM(D10:D14)</f>
        <v>63766.43</v>
      </c>
    </row>
    <row r="16" spans="1:5" x14ac:dyDescent="0.3">
      <c r="A16" s="49" t="s">
        <v>99</v>
      </c>
      <c r="B16" s="50"/>
      <c r="C16" s="50">
        <f t="shared" ref="C16:D16" si="2">(C15/B15-1)*100</f>
        <v>-10.200327375237904</v>
      </c>
      <c r="D16" s="51">
        <f t="shared" si="2"/>
        <v>-6.1645277936746119</v>
      </c>
    </row>
    <row r="17" spans="1:4" x14ac:dyDescent="0.3">
      <c r="A17" s="49"/>
      <c r="B17" s="50"/>
      <c r="C17" s="50"/>
      <c r="D17" s="51"/>
    </row>
    <row r="18" spans="1:4" x14ac:dyDescent="0.3">
      <c r="A18" s="73" t="s">
        <v>100</v>
      </c>
      <c r="B18" s="74">
        <f>B7-B15</f>
        <v>67238.69</v>
      </c>
      <c r="C18" s="74">
        <f>C7-C15</f>
        <v>72977.079999999987</v>
      </c>
      <c r="D18" s="75">
        <f>D7-D15</f>
        <v>68750.23000000001</v>
      </c>
    </row>
    <row r="19" spans="1:4" x14ac:dyDescent="0.3">
      <c r="A19" s="47" t="s">
        <v>101</v>
      </c>
      <c r="B19" s="48">
        <f>(B18/B7)*100</f>
        <v>47.048581615765414</v>
      </c>
      <c r="C19" s="48">
        <f>(C18/C7)*100</f>
        <v>51.781528268999409</v>
      </c>
      <c r="D19" s="52">
        <f>(D18/D7)*100</f>
        <v>51.880442806210183</v>
      </c>
    </row>
    <row r="20" spans="1:4" x14ac:dyDescent="0.3">
      <c r="A20" s="49" t="s">
        <v>102</v>
      </c>
      <c r="B20" s="50"/>
      <c r="C20" s="50">
        <f t="shared" ref="C20:D20" si="3">(C18/B18-1)*100</f>
        <v>8.534357227959056</v>
      </c>
      <c r="D20" s="51">
        <f t="shared" si="3"/>
        <v>-5.7920240163075505</v>
      </c>
    </row>
    <row r="21" spans="1:4" x14ac:dyDescent="0.3">
      <c r="A21" s="49"/>
      <c r="B21" s="50"/>
      <c r="C21" s="50"/>
      <c r="D21" s="51"/>
    </row>
    <row r="22" spans="1:4" outlineLevel="1" x14ac:dyDescent="0.3">
      <c r="A22" s="49" t="s">
        <v>103</v>
      </c>
      <c r="B22" s="50">
        <v>7488.19</v>
      </c>
      <c r="C22" s="50">
        <v>6737.69</v>
      </c>
      <c r="D22" s="51">
        <v>7701.74</v>
      </c>
    </row>
    <row r="23" spans="1:4" outlineLevel="1" x14ac:dyDescent="0.3">
      <c r="A23" s="49" t="s">
        <v>104</v>
      </c>
      <c r="B23" s="50">
        <v>295.83999999999997</v>
      </c>
      <c r="C23" s="50">
        <v>286.37</v>
      </c>
      <c r="D23" s="51">
        <v>338.78</v>
      </c>
    </row>
    <row r="24" spans="1:4" x14ac:dyDescent="0.3">
      <c r="A24" s="69" t="s">
        <v>105</v>
      </c>
      <c r="B24" s="70">
        <f t="shared" ref="B24:D24" si="4">SUM(B22:B23)</f>
        <v>7784.03</v>
      </c>
      <c r="C24" s="70">
        <f t="shared" si="4"/>
        <v>7024.0599999999995</v>
      </c>
      <c r="D24" s="72">
        <f t="shared" si="4"/>
        <v>8040.5199999999995</v>
      </c>
    </row>
    <row r="25" spans="1:4" x14ac:dyDescent="0.3">
      <c r="A25" s="49" t="s">
        <v>99</v>
      </c>
      <c r="B25" s="50"/>
      <c r="C25" s="50">
        <f t="shared" ref="C25:D25" si="5">(C24/B24-1)*100</f>
        <v>-9.763194643391671</v>
      </c>
      <c r="D25" s="51">
        <f t="shared" si="5"/>
        <v>14.471117843526393</v>
      </c>
    </row>
    <row r="26" spans="1:4" x14ac:dyDescent="0.3">
      <c r="A26" s="49"/>
      <c r="B26" s="50"/>
      <c r="C26" s="50"/>
      <c r="D26" s="51"/>
    </row>
    <row r="27" spans="1:4" outlineLevel="1" x14ac:dyDescent="0.3">
      <c r="A27" s="49" t="s">
        <v>106</v>
      </c>
      <c r="B27" s="50">
        <v>7217.19</v>
      </c>
      <c r="C27" s="50">
        <v>6574.23</v>
      </c>
      <c r="D27" s="51">
        <v>6477.48</v>
      </c>
    </row>
    <row r="28" spans="1:4" outlineLevel="1" x14ac:dyDescent="0.3">
      <c r="A28" s="49" t="s">
        <v>107</v>
      </c>
      <c r="B28" s="50">
        <v>97.33</v>
      </c>
      <c r="C28" s="227">
        <v>6121.2</v>
      </c>
      <c r="D28" s="228">
        <v>5857.75</v>
      </c>
    </row>
    <row r="29" spans="1:4" outlineLevel="1" x14ac:dyDescent="0.3">
      <c r="A29" s="49" t="s">
        <v>108</v>
      </c>
      <c r="B29" s="50">
        <v>5344.44</v>
      </c>
      <c r="C29" s="227"/>
      <c r="D29" s="228"/>
    </row>
    <row r="30" spans="1:4" outlineLevel="1" x14ac:dyDescent="0.3">
      <c r="A30" s="49" t="s">
        <v>109</v>
      </c>
      <c r="B30" s="50">
        <v>232.3</v>
      </c>
      <c r="C30" s="50">
        <v>229.92</v>
      </c>
      <c r="D30" s="51">
        <v>204.3</v>
      </c>
    </row>
    <row r="31" spans="1:4" outlineLevel="1" x14ac:dyDescent="0.3">
      <c r="A31" s="49" t="s">
        <v>110</v>
      </c>
      <c r="B31" s="50">
        <v>91.73</v>
      </c>
      <c r="C31" s="50">
        <v>379.78</v>
      </c>
      <c r="D31" s="51">
        <v>462.45</v>
      </c>
    </row>
    <row r="32" spans="1:4" outlineLevel="1" x14ac:dyDescent="0.3">
      <c r="A32" s="49" t="s">
        <v>111</v>
      </c>
      <c r="B32" s="50">
        <v>6716.74</v>
      </c>
      <c r="C32" s="1">
        <v>6511.15</v>
      </c>
      <c r="D32" s="51">
        <v>5137.08</v>
      </c>
    </row>
    <row r="33" spans="1:4" x14ac:dyDescent="0.3">
      <c r="A33" s="69" t="s">
        <v>112</v>
      </c>
      <c r="B33" s="70">
        <f t="shared" ref="B33" si="6">SUM(B27:B32)</f>
        <v>19699.729999999996</v>
      </c>
      <c r="C33" s="70">
        <f>SUM(C27:C32)</f>
        <v>19816.28</v>
      </c>
      <c r="D33" s="72">
        <f>SUM(D27:D32)</f>
        <v>18139.059999999998</v>
      </c>
    </row>
    <row r="34" spans="1:4" x14ac:dyDescent="0.3">
      <c r="A34" s="49" t="s">
        <v>99</v>
      </c>
      <c r="B34" s="50"/>
      <c r="C34" s="50">
        <f t="shared" ref="C34:D34" si="7">(C33/B33-1)*100</f>
        <v>0.59163247415068287</v>
      </c>
      <c r="D34" s="51">
        <f t="shared" si="7"/>
        <v>-8.4638489161437018</v>
      </c>
    </row>
    <row r="35" spans="1:4" x14ac:dyDescent="0.3">
      <c r="A35" s="49"/>
      <c r="B35" s="50"/>
      <c r="C35" s="50"/>
      <c r="D35" s="51"/>
    </row>
    <row r="36" spans="1:4" outlineLevel="1" x14ac:dyDescent="0.3">
      <c r="A36" s="49" t="s">
        <v>113</v>
      </c>
      <c r="B36" s="50">
        <v>6089.74</v>
      </c>
      <c r="C36" s="50">
        <v>6173.81</v>
      </c>
      <c r="D36" s="51">
        <v>6502.3</v>
      </c>
    </row>
    <row r="37" spans="1:4" outlineLevel="1" x14ac:dyDescent="0.3">
      <c r="A37" s="49" t="s">
        <v>114</v>
      </c>
      <c r="B37" s="50">
        <v>619.4</v>
      </c>
      <c r="C37" s="50">
        <v>640.59</v>
      </c>
      <c r="D37" s="51">
        <v>671.08</v>
      </c>
    </row>
    <row r="38" spans="1:4" outlineLevel="1" x14ac:dyDescent="0.3">
      <c r="A38" s="49" t="s">
        <v>115</v>
      </c>
      <c r="B38" s="50">
        <v>511.6</v>
      </c>
      <c r="C38" s="50">
        <v>658.12</v>
      </c>
      <c r="D38" s="51">
        <v>836.7</v>
      </c>
    </row>
    <row r="39" spans="1:4" outlineLevel="1" x14ac:dyDescent="0.3">
      <c r="A39" s="49" t="s">
        <v>116</v>
      </c>
      <c r="B39" s="50">
        <v>37.82</v>
      </c>
      <c r="C39" s="50">
        <v>40.590000000000003</v>
      </c>
      <c r="D39" s="51">
        <v>32.909999999999997</v>
      </c>
    </row>
    <row r="40" spans="1:4" outlineLevel="1" x14ac:dyDescent="0.3">
      <c r="A40" s="49" t="s">
        <v>117</v>
      </c>
      <c r="B40" s="50">
        <v>1654.27</v>
      </c>
      <c r="C40" s="50">
        <v>2340.4299999999998</v>
      </c>
      <c r="D40" s="51">
        <v>1884.44</v>
      </c>
    </row>
    <row r="41" spans="1:4" outlineLevel="1" x14ac:dyDescent="0.3">
      <c r="A41" s="49" t="s">
        <v>118</v>
      </c>
      <c r="B41" s="50">
        <v>252.36</v>
      </c>
      <c r="C41" s="50">
        <v>271.19</v>
      </c>
      <c r="D41" s="51">
        <v>229.35</v>
      </c>
    </row>
    <row r="42" spans="1:4" outlineLevel="1" x14ac:dyDescent="0.3">
      <c r="A42" s="49" t="s">
        <v>119</v>
      </c>
      <c r="B42" s="50">
        <v>6.46</v>
      </c>
      <c r="C42" s="50">
        <v>110.23</v>
      </c>
      <c r="D42" s="51">
        <v>-5.4</v>
      </c>
    </row>
    <row r="43" spans="1:4" outlineLevel="1" x14ac:dyDescent="0.3">
      <c r="A43" s="49" t="s">
        <v>120</v>
      </c>
      <c r="B43" s="50">
        <v>9.65</v>
      </c>
      <c r="C43" s="50">
        <v>8.44</v>
      </c>
      <c r="D43" s="51">
        <v>7.95</v>
      </c>
    </row>
    <row r="44" spans="1:4" outlineLevel="1" x14ac:dyDescent="0.3">
      <c r="A44" s="49" t="s">
        <v>121</v>
      </c>
      <c r="B44" s="50">
        <v>11.46</v>
      </c>
      <c r="C44" s="50">
        <v>15.82</v>
      </c>
      <c r="D44" s="51">
        <v>15.02</v>
      </c>
    </row>
    <row r="45" spans="1:4" outlineLevel="1" x14ac:dyDescent="0.3">
      <c r="A45" s="49" t="s">
        <v>122</v>
      </c>
      <c r="B45" s="50">
        <v>1.1299999999999999</v>
      </c>
      <c r="C45" s="50">
        <v>1.32</v>
      </c>
      <c r="D45" s="51">
        <v>1.35</v>
      </c>
    </row>
    <row r="46" spans="1:4" outlineLevel="1" x14ac:dyDescent="0.3">
      <c r="A46" s="49" t="s">
        <v>123</v>
      </c>
      <c r="B46" s="50">
        <v>0.93</v>
      </c>
      <c r="C46" s="50">
        <v>4.1399999999999997</v>
      </c>
      <c r="D46" s="51">
        <v>2.75</v>
      </c>
    </row>
    <row r="47" spans="1:4" outlineLevel="1" x14ac:dyDescent="0.3">
      <c r="A47" s="49" t="s">
        <v>124</v>
      </c>
      <c r="B47" s="50">
        <v>0.25</v>
      </c>
      <c r="C47" s="50">
        <v>0.34</v>
      </c>
      <c r="D47" s="51">
        <v>0.43</v>
      </c>
    </row>
    <row r="48" spans="1:4" outlineLevel="1" x14ac:dyDescent="0.3">
      <c r="A48" s="49" t="s">
        <v>125</v>
      </c>
      <c r="B48" s="50">
        <v>0.27</v>
      </c>
      <c r="C48" s="50">
        <v>0.35</v>
      </c>
      <c r="D48" s="51">
        <v>0.47</v>
      </c>
    </row>
    <row r="49" spans="1:4" x14ac:dyDescent="0.3">
      <c r="A49" s="69" t="s">
        <v>126</v>
      </c>
      <c r="B49" s="70">
        <f t="shared" ref="B49:D49" si="8">SUM(B36:B48)</f>
        <v>9195.3399999999983</v>
      </c>
      <c r="C49" s="70">
        <f t="shared" si="8"/>
        <v>10265.370000000001</v>
      </c>
      <c r="D49" s="72">
        <f t="shared" si="8"/>
        <v>10179.350000000002</v>
      </c>
    </row>
    <row r="50" spans="1:4" x14ac:dyDescent="0.3">
      <c r="A50" s="49" t="s">
        <v>99</v>
      </c>
      <c r="B50" s="50"/>
      <c r="C50" s="50">
        <f t="shared" ref="C50:D50" si="9">(C49/B49-1)*100</f>
        <v>11.636655088338244</v>
      </c>
      <c r="D50" s="51">
        <f t="shared" si="9"/>
        <v>-0.83796297649280094</v>
      </c>
    </row>
    <row r="51" spans="1:4" x14ac:dyDescent="0.3">
      <c r="A51" s="49"/>
      <c r="B51" s="50"/>
      <c r="C51" s="50"/>
      <c r="D51" s="51"/>
    </row>
    <row r="52" spans="1:4" x14ac:dyDescent="0.3">
      <c r="A52" s="69" t="s">
        <v>127</v>
      </c>
      <c r="B52" s="70">
        <f t="shared" ref="B52:D52" si="10">B24+B33+B49</f>
        <v>36679.099999999991</v>
      </c>
      <c r="C52" s="70">
        <f t="shared" si="10"/>
        <v>37105.71</v>
      </c>
      <c r="D52" s="72">
        <f t="shared" si="10"/>
        <v>36358.93</v>
      </c>
    </row>
    <row r="53" spans="1:4" x14ac:dyDescent="0.3">
      <c r="A53" s="49" t="s">
        <v>99</v>
      </c>
      <c r="B53" s="50"/>
      <c r="C53" s="50">
        <f t="shared" ref="C53:D53" si="11">(C52/B52-1)*100</f>
        <v>1.1630874258092616</v>
      </c>
      <c r="D53" s="51">
        <f t="shared" si="11"/>
        <v>-2.0125743450266742</v>
      </c>
    </row>
    <row r="54" spans="1:4" x14ac:dyDescent="0.3">
      <c r="A54" s="49"/>
      <c r="B54" s="50"/>
      <c r="C54" s="50"/>
      <c r="D54" s="51"/>
    </row>
    <row r="55" spans="1:4" x14ac:dyDescent="0.3">
      <c r="A55" s="69" t="s">
        <v>129</v>
      </c>
      <c r="B55" s="70">
        <f>B18-B52</f>
        <v>30559.590000000011</v>
      </c>
      <c r="C55" s="70">
        <f>C18-C52</f>
        <v>35871.369999999988</v>
      </c>
      <c r="D55" s="71">
        <f>D18-D52</f>
        <v>32391.30000000001</v>
      </c>
    </row>
    <row r="56" spans="1:4" x14ac:dyDescent="0.3">
      <c r="A56" s="49" t="s">
        <v>99</v>
      </c>
      <c r="B56" s="50"/>
      <c r="C56" s="50">
        <f t="shared" ref="C56:D56" si="12">(C55/B55-1)*100</f>
        <v>17.381712254647308</v>
      </c>
      <c r="D56" s="51">
        <f t="shared" si="12"/>
        <v>-9.7015251996229281</v>
      </c>
    </row>
    <row r="57" spans="1:4" x14ac:dyDescent="0.3">
      <c r="A57" s="49"/>
      <c r="B57" s="50"/>
      <c r="C57" s="50"/>
      <c r="D57" s="51"/>
    </row>
    <row r="58" spans="1:4" outlineLevel="1" x14ac:dyDescent="0.3">
      <c r="A58" s="49" t="s">
        <v>130</v>
      </c>
      <c r="B58" s="50">
        <v>5295.77</v>
      </c>
      <c r="C58" s="50">
        <v>5389.67</v>
      </c>
      <c r="D58" s="51">
        <v>5620.97</v>
      </c>
    </row>
    <row r="59" spans="1:4" outlineLevel="1" x14ac:dyDescent="0.3">
      <c r="A59" s="49" t="s">
        <v>131</v>
      </c>
      <c r="B59" s="50">
        <v>541.63</v>
      </c>
      <c r="C59" s="50">
        <v>501.55</v>
      </c>
      <c r="D59" s="51">
        <v>504.74</v>
      </c>
    </row>
    <row r="60" spans="1:4" outlineLevel="1" x14ac:dyDescent="0.3">
      <c r="A60" s="49" t="s">
        <v>132</v>
      </c>
      <c r="B60" s="50">
        <v>118.92</v>
      </c>
      <c r="C60" s="50">
        <v>117.73</v>
      </c>
      <c r="D60" s="51">
        <v>127.45</v>
      </c>
    </row>
    <row r="61" spans="1:4" x14ac:dyDescent="0.3">
      <c r="A61" s="69" t="s">
        <v>133</v>
      </c>
      <c r="B61" s="70">
        <f t="shared" ref="B61:D61" si="13">SUM(B58:B60)</f>
        <v>5956.3200000000006</v>
      </c>
      <c r="C61" s="70">
        <f t="shared" si="13"/>
        <v>6008.95</v>
      </c>
      <c r="D61" s="72">
        <f t="shared" si="13"/>
        <v>6253.16</v>
      </c>
    </row>
    <row r="62" spans="1:4" x14ac:dyDescent="0.3">
      <c r="A62" s="49" t="s">
        <v>99</v>
      </c>
      <c r="B62" s="50"/>
      <c r="C62" s="50">
        <f t="shared" ref="C62:D62" si="14">(C61/B61-1)*100</f>
        <v>0.88359926934751254</v>
      </c>
      <c r="D62" s="51">
        <f t="shared" si="14"/>
        <v>4.0641043776366903</v>
      </c>
    </row>
    <row r="63" spans="1:4" x14ac:dyDescent="0.3">
      <c r="A63" s="49"/>
      <c r="B63" s="50"/>
      <c r="C63" s="50"/>
      <c r="D63" s="51"/>
    </row>
    <row r="64" spans="1:4" x14ac:dyDescent="0.3">
      <c r="A64" s="76" t="s">
        <v>128</v>
      </c>
      <c r="B64" s="77">
        <v>1085.23</v>
      </c>
      <c r="C64" s="77">
        <v>987.54</v>
      </c>
      <c r="D64" s="78">
        <v>774.46</v>
      </c>
    </row>
    <row r="65" spans="1:4" x14ac:dyDescent="0.3">
      <c r="A65" s="53" t="s">
        <v>99</v>
      </c>
      <c r="B65" s="54"/>
      <c r="C65" s="54">
        <f t="shared" ref="C65:D65" si="15">(C64/B64-1)*100</f>
        <v>-9.0017784248500377</v>
      </c>
      <c r="D65" s="55">
        <f t="shared" si="15"/>
        <v>-21.576847520100451</v>
      </c>
    </row>
    <row r="66" spans="1:4" x14ac:dyDescent="0.3">
      <c r="A66" s="49"/>
      <c r="B66" s="50"/>
      <c r="C66" s="50"/>
      <c r="D66" s="51"/>
    </row>
    <row r="67" spans="1:4" x14ac:dyDescent="0.3">
      <c r="A67" s="73" t="s">
        <v>134</v>
      </c>
      <c r="B67" s="74">
        <f>B55-B61+B64</f>
        <v>25688.500000000011</v>
      </c>
      <c r="C67" s="74">
        <f t="shared" ref="C67:D67" si="16">C55-C61+C64</f>
        <v>30849.959999999988</v>
      </c>
      <c r="D67" s="75">
        <f t="shared" si="16"/>
        <v>26912.600000000009</v>
      </c>
    </row>
    <row r="68" spans="1:4" x14ac:dyDescent="0.3">
      <c r="A68" s="132" t="s">
        <v>99</v>
      </c>
      <c r="B68" s="133"/>
      <c r="C68" s="133">
        <f t="shared" ref="C68:D68" si="17">(C67/B67-1)*100</f>
        <v>20.092492749673884</v>
      </c>
      <c r="D68" s="134">
        <f t="shared" si="17"/>
        <v>-12.762933890351825</v>
      </c>
    </row>
    <row r="69" spans="1:4" x14ac:dyDescent="0.3">
      <c r="D69" s="59"/>
    </row>
    <row r="70" spans="1:4" outlineLevel="1" x14ac:dyDescent="0.3">
      <c r="A70" s="56" t="s">
        <v>137</v>
      </c>
      <c r="B70" s="5">
        <v>3737.35</v>
      </c>
      <c r="C70" s="5">
        <v>4348.1000000000004</v>
      </c>
      <c r="D70" s="57">
        <v>4940.03</v>
      </c>
    </row>
    <row r="71" spans="1:4" outlineLevel="1" x14ac:dyDescent="0.3">
      <c r="A71" s="56" t="s">
        <v>138</v>
      </c>
      <c r="B71" s="1">
        <v>519.23</v>
      </c>
      <c r="C71" s="1">
        <v>398.6</v>
      </c>
      <c r="D71" s="58">
        <v>358.11</v>
      </c>
    </row>
    <row r="72" spans="1:4" outlineLevel="1" x14ac:dyDescent="0.3">
      <c r="A72" s="56" t="s">
        <v>139</v>
      </c>
      <c r="B72" s="1">
        <v>281.95</v>
      </c>
      <c r="C72" s="1">
        <v>646.17999999999995</v>
      </c>
      <c r="D72" s="58">
        <v>1059.79</v>
      </c>
    </row>
    <row r="73" spans="1:4" x14ac:dyDescent="0.3">
      <c r="A73" s="76" t="s">
        <v>140</v>
      </c>
      <c r="B73" s="77">
        <f t="shared" ref="B73:D73" si="18">B70+B71-B72</f>
        <v>3974.63</v>
      </c>
      <c r="C73" s="77">
        <f t="shared" si="18"/>
        <v>4100.5200000000004</v>
      </c>
      <c r="D73" s="78">
        <f t="shared" si="18"/>
        <v>4238.3499999999995</v>
      </c>
    </row>
    <row r="74" spans="1:4" x14ac:dyDescent="0.3">
      <c r="A74" s="49" t="s">
        <v>99</v>
      </c>
      <c r="B74" s="35"/>
      <c r="C74" s="35">
        <f t="shared" ref="C74:D74" si="19">(C73/B73-1)*100</f>
        <v>3.1673388466347818</v>
      </c>
      <c r="D74" s="51">
        <f t="shared" si="19"/>
        <v>3.3612810082623401</v>
      </c>
    </row>
    <row r="75" spans="1:4" x14ac:dyDescent="0.3">
      <c r="D75" s="59"/>
    </row>
    <row r="76" spans="1:4" x14ac:dyDescent="0.3">
      <c r="A76" s="79" t="s">
        <v>157</v>
      </c>
      <c r="B76" s="129">
        <f>B67-B73</f>
        <v>21713.87000000001</v>
      </c>
      <c r="C76" s="129">
        <f t="shared" ref="C76:D76" si="20">C67-C73</f>
        <v>26749.439999999988</v>
      </c>
      <c r="D76" s="130">
        <f t="shared" si="20"/>
        <v>22674.250000000011</v>
      </c>
    </row>
    <row r="77" spans="1:4" x14ac:dyDescent="0.3">
      <c r="A77" s="53" t="s">
        <v>99</v>
      </c>
      <c r="B77" s="135"/>
      <c r="C77" s="136">
        <f>(C76/B76-1)*100</f>
        <v>23.190568977340178</v>
      </c>
      <c r="D77" s="137">
        <f>(D76/C76-1)*100</f>
        <v>-15.23467407168142</v>
      </c>
    </row>
    <row r="78" spans="1:4" x14ac:dyDescent="0.3">
      <c r="D78" s="59"/>
    </row>
    <row r="79" spans="1:4" outlineLevel="1" x14ac:dyDescent="0.3">
      <c r="A79" s="49" t="s">
        <v>141</v>
      </c>
      <c r="B79" s="35">
        <v>338.56</v>
      </c>
      <c r="C79" s="35">
        <v>0</v>
      </c>
      <c r="D79" s="51">
        <v>0</v>
      </c>
    </row>
    <row r="80" spans="1:4" outlineLevel="1" x14ac:dyDescent="0.3">
      <c r="A80" s="49" t="s">
        <v>142</v>
      </c>
      <c r="B80" s="35">
        <v>-1056.3900000000001</v>
      </c>
      <c r="C80" s="35">
        <v>-2823.7</v>
      </c>
      <c r="D80" s="51">
        <v>-74.91</v>
      </c>
    </row>
    <row r="81" spans="1:4" outlineLevel="1" x14ac:dyDescent="0.3">
      <c r="A81" s="49" t="s">
        <v>143</v>
      </c>
      <c r="B81" s="35">
        <v>0</v>
      </c>
      <c r="C81" s="35">
        <v>-178.91</v>
      </c>
      <c r="D81" s="51">
        <v>0</v>
      </c>
    </row>
    <row r="82" spans="1:4" outlineLevel="1" x14ac:dyDescent="0.3">
      <c r="A82" s="49" t="s">
        <v>144</v>
      </c>
      <c r="B82" s="35">
        <v>-91.94</v>
      </c>
      <c r="C82" s="35">
        <v>-98.83</v>
      </c>
      <c r="D82" s="51">
        <v>-670.78</v>
      </c>
    </row>
    <row r="83" spans="1:4" outlineLevel="1" x14ac:dyDescent="0.3">
      <c r="A83" s="49" t="s">
        <v>145</v>
      </c>
      <c r="B83" s="35">
        <v>-1.69</v>
      </c>
      <c r="C83" s="35">
        <v>-404.67</v>
      </c>
      <c r="D83" s="51">
        <v>0</v>
      </c>
    </row>
    <row r="84" spans="1:4" outlineLevel="1" x14ac:dyDescent="0.3">
      <c r="A84" s="49" t="s">
        <v>146</v>
      </c>
      <c r="B84" s="35">
        <v>30.99</v>
      </c>
      <c r="C84" s="35">
        <v>18.09</v>
      </c>
      <c r="D84" s="51">
        <v>16.760000000000002</v>
      </c>
    </row>
    <row r="85" spans="1:4" outlineLevel="1" x14ac:dyDescent="0.3">
      <c r="A85" s="49" t="s">
        <v>147</v>
      </c>
      <c r="B85" s="35">
        <v>0</v>
      </c>
      <c r="C85" s="35">
        <v>0</v>
      </c>
      <c r="D85" s="51">
        <v>-173.11</v>
      </c>
    </row>
    <row r="86" spans="1:4" x14ac:dyDescent="0.3">
      <c r="A86" s="76" t="s">
        <v>148</v>
      </c>
      <c r="B86" s="77">
        <f>SUM(B79:B85)</f>
        <v>-780.47000000000025</v>
      </c>
      <c r="C86" s="77">
        <f t="shared" ref="C86:D86" si="21">SUM(C79:C85)</f>
        <v>-3488.0199999999995</v>
      </c>
      <c r="D86" s="78">
        <f t="shared" si="21"/>
        <v>-902.04</v>
      </c>
    </row>
    <row r="87" spans="1:4" x14ac:dyDescent="0.3">
      <c r="A87" s="49" t="s">
        <v>99</v>
      </c>
      <c r="B87" s="35"/>
      <c r="C87" s="35">
        <f t="shared" ref="C87:D87" si="22">(C86/B86-1)*100</f>
        <v>346.91275769728475</v>
      </c>
      <c r="D87" s="51">
        <f t="shared" si="22"/>
        <v>-74.138909753957833</v>
      </c>
    </row>
    <row r="88" spans="1:4" x14ac:dyDescent="0.3">
      <c r="D88" s="59"/>
    </row>
    <row r="89" spans="1:4" x14ac:dyDescent="0.3">
      <c r="A89" s="79" t="s">
        <v>149</v>
      </c>
      <c r="B89" s="129">
        <f>B76+B86</f>
        <v>20933.400000000009</v>
      </c>
      <c r="C89" s="129">
        <f t="shared" ref="C89:D89" si="23">C76+C86</f>
        <v>23261.419999999987</v>
      </c>
      <c r="D89" s="130">
        <f t="shared" si="23"/>
        <v>21772.21000000001</v>
      </c>
    </row>
    <row r="90" spans="1:4" x14ac:dyDescent="0.3">
      <c r="A90" s="53" t="s">
        <v>99</v>
      </c>
      <c r="B90" s="135"/>
      <c r="C90" s="136">
        <f>(C89/B89-1)*100</f>
        <v>11.121079232231645</v>
      </c>
      <c r="D90" s="137">
        <f>(D89/C89-1)*100</f>
        <v>-6.4020597194839324</v>
      </c>
    </row>
    <row r="91" spans="1:4" x14ac:dyDescent="0.3">
      <c r="D91" s="59"/>
    </row>
    <row r="92" spans="1:4" outlineLevel="1" x14ac:dyDescent="0.3">
      <c r="A92" s="35" t="s">
        <v>150</v>
      </c>
      <c r="B92" s="36">
        <v>4918.3900000000003</v>
      </c>
      <c r="C92" s="37">
        <v>4383.47</v>
      </c>
      <c r="D92" s="59">
        <v>3765.51</v>
      </c>
    </row>
    <row r="93" spans="1:4" outlineLevel="1" x14ac:dyDescent="0.3">
      <c r="A93" s="35" t="s">
        <v>151</v>
      </c>
      <c r="B93" s="36">
        <v>486.06</v>
      </c>
      <c r="C93" s="37">
        <v>-540.61</v>
      </c>
      <c r="D93" s="59">
        <v>983.63</v>
      </c>
    </row>
    <row r="94" spans="1:4" x14ac:dyDescent="0.3">
      <c r="A94" s="77" t="s">
        <v>152</v>
      </c>
      <c r="B94" s="90">
        <f>SUM(B92:B93)</f>
        <v>5404.4500000000007</v>
      </c>
      <c r="C94" s="90">
        <f t="shared" ref="C94:D94" si="24">SUM(C92:C93)</f>
        <v>3842.86</v>
      </c>
      <c r="D94" s="131">
        <f t="shared" si="24"/>
        <v>4749.1400000000003</v>
      </c>
    </row>
    <row r="95" spans="1:4" x14ac:dyDescent="0.3">
      <c r="A95" s="53" t="s">
        <v>99</v>
      </c>
      <c r="C95" s="37">
        <f>(C94/B94-1)*100</f>
        <v>-28.894522106782382</v>
      </c>
      <c r="D95" s="137">
        <f>(D94/C94-1)*100</f>
        <v>23.583476889608267</v>
      </c>
    </row>
    <row r="96" spans="1:4" x14ac:dyDescent="0.3">
      <c r="D96" s="59"/>
    </row>
    <row r="97" spans="1:4" x14ac:dyDescent="0.3">
      <c r="A97" s="77" t="s">
        <v>153</v>
      </c>
      <c r="B97" s="90">
        <f>B89-B94</f>
        <v>15528.950000000008</v>
      </c>
      <c r="C97" s="90">
        <f t="shared" ref="C97:D97" si="25">C89-C94</f>
        <v>19418.559999999987</v>
      </c>
      <c r="D97" s="131">
        <f t="shared" si="25"/>
        <v>17023.070000000011</v>
      </c>
    </row>
    <row r="98" spans="1:4" x14ac:dyDescent="0.3">
      <c r="A98" s="54" t="s">
        <v>99</v>
      </c>
      <c r="B98" s="135"/>
      <c r="C98" s="136">
        <f>(C97/B97-1)*100</f>
        <v>25.04747584350504</v>
      </c>
      <c r="D98" s="137">
        <f>(D97/C97-1)*100</f>
        <v>-12.336084653032863</v>
      </c>
    </row>
    <row r="99" spans="1:4" ht="16.2" thickBot="1" x14ac:dyDescent="0.35">
      <c r="A99" s="138"/>
      <c r="B99" s="139"/>
      <c r="C99" s="140"/>
      <c r="D99" s="141"/>
    </row>
  </sheetData>
  <mergeCells count="3">
    <mergeCell ref="A1:D1"/>
    <mergeCell ref="C28:C29"/>
    <mergeCell ref="D28:D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Financial Ratios</vt:lpstr>
      <vt:lpstr>FP Analysis </vt:lpstr>
      <vt:lpstr>SAIL</vt:lpstr>
      <vt:lpstr>Balance Sheet (JSPL)</vt:lpstr>
      <vt:lpstr>P L Statement (JSPL)</vt:lpstr>
      <vt:lpstr>Balance Sheet (TATA STEEL)</vt:lpstr>
      <vt:lpstr>P L Statement (TATA STEEL)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Romit Banerjee - 21277030197</dc:creator>
  <cp:lastModifiedBy>Nivedha Rajkumar</cp:lastModifiedBy>
  <dcterms:created xsi:type="dcterms:W3CDTF">2026-04-29T16:18:50Z</dcterms:created>
  <dcterms:modified xsi:type="dcterms:W3CDTF">2026-05-04T12:46:25Z</dcterms:modified>
</cp:coreProperties>
</file>
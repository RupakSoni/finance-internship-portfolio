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omitbanerjee/Documents/PENDING FINANCE LIVE PROJECT/"/>
    </mc:Choice>
  </mc:AlternateContent>
  <xr:revisionPtr revIDLastSave="0" documentId="8_{642DBF31-F36B-1240-9178-BF5C80B2250D}" xr6:coauthVersionLast="47" xr6:coauthVersionMax="47" xr10:uidLastSave="{00000000-0000-0000-0000-000000000000}"/>
  <bookViews>
    <workbookView xWindow="0" yWindow="660" windowWidth="23880" windowHeight="16340" tabRatio="500" firstSheet="2" activeTab="2" xr2:uid="{00000000-000D-0000-FFFF-FFFF00000000}"/>
  </bookViews>
  <sheets>
    <sheet name="Cover" sheetId="1" r:id="rId1"/>
    <sheet name="Executive Summary" sheetId="2" r:id="rId2"/>
    <sheet name="Source Data" sheetId="3" r:id="rId3"/>
    <sheet name="Assumptions" sheetId="4" r:id="rId4"/>
    <sheet name="Rollout Plan" sheetId="5" r:id="rId5"/>
    <sheet name="Revenue Build" sheetId="6" r:id="rId6"/>
    <sheet name="Opex &amp; EBITDA" sheetId="7" r:id="rId7"/>
    <sheet name="Capex &amp; DA" sheetId="8" r:id="rId8"/>
    <sheet name="Working Capital &amp; FCF" sheetId="9" r:id="rId9"/>
    <sheet name="Valuation" sheetId="10" r:id="rId10"/>
    <sheet name="Sources" sheetId="14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10" l="1"/>
  <c r="H13" i="6"/>
  <c r="H21" i="5"/>
  <c r="H8" i="6" s="1"/>
  <c r="H15" i="5"/>
  <c r="H11" i="5"/>
  <c r="H7" i="6" s="1"/>
  <c r="G11" i="5"/>
  <c r="G7" i="6" s="1"/>
  <c r="E11" i="5"/>
  <c r="E7" i="6" s="1"/>
  <c r="H7" i="5"/>
  <c r="H7" i="8" s="1"/>
  <c r="H11" i="8" s="1"/>
  <c r="G7" i="5"/>
  <c r="G7" i="8" s="1"/>
  <c r="G11" i="8" s="1"/>
  <c r="E7" i="5"/>
  <c r="E9" i="5" s="1"/>
  <c r="E6" i="8" s="1"/>
  <c r="G43" i="4"/>
  <c r="D12" i="10" s="1"/>
  <c r="G42" i="4"/>
  <c r="G41" i="4"/>
  <c r="G40" i="4"/>
  <c r="G39" i="4"/>
  <c r="G37" i="4"/>
  <c r="G36" i="4"/>
  <c r="G35" i="4"/>
  <c r="G34" i="4"/>
  <c r="G33" i="4"/>
  <c r="G31" i="4"/>
  <c r="G30" i="4"/>
  <c r="G29" i="4"/>
  <c r="G27" i="4"/>
  <c r="G26" i="4"/>
  <c r="G25" i="4"/>
  <c r="G24" i="4"/>
  <c r="G22" i="4"/>
  <c r="G21" i="4"/>
  <c r="G20" i="4"/>
  <c r="G19" i="4"/>
  <c r="G18" i="4"/>
  <c r="G17" i="4"/>
  <c r="F13" i="6" s="1"/>
  <c r="G15" i="4"/>
  <c r="G14" i="4"/>
  <c r="F21" i="5" s="1"/>
  <c r="F8" i="6" s="1"/>
  <c r="G12" i="4"/>
  <c r="G11" i="4"/>
  <c r="F15" i="5" s="1"/>
  <c r="G10" i="4"/>
  <c r="F11" i="5" s="1"/>
  <c r="F7" i="6" s="1"/>
  <c r="G9" i="4"/>
  <c r="G8" i="4"/>
  <c r="F7" i="5" s="1"/>
  <c r="H4" i="4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G11" i="2"/>
  <c r="E9" i="8" l="1"/>
  <c r="E10" i="8"/>
  <c r="E18" i="8" s="1"/>
  <c r="F7" i="8"/>
  <c r="F11" i="8" s="1"/>
  <c r="F9" i="5"/>
  <c r="F6" i="8" s="1"/>
  <c r="G9" i="5"/>
  <c r="G6" i="8" s="1"/>
  <c r="G15" i="5"/>
  <c r="G21" i="5"/>
  <c r="G8" i="6" s="1"/>
  <c r="G13" i="6"/>
  <c r="H9" i="5"/>
  <c r="H6" i="8" s="1"/>
  <c r="H8" i="10"/>
  <c r="G8" i="10"/>
  <c r="F8" i="10"/>
  <c r="E8" i="10"/>
  <c r="D7" i="5"/>
  <c r="D11" i="5"/>
  <c r="D7" i="6" s="1"/>
  <c r="D15" i="5"/>
  <c r="D21" i="5"/>
  <c r="D8" i="6" s="1"/>
  <c r="D13" i="6"/>
  <c r="E21" i="5"/>
  <c r="E8" i="6" s="1"/>
  <c r="E13" i="6"/>
  <c r="E7" i="8"/>
  <c r="E11" i="8" s="1"/>
  <c r="E15" i="5"/>
  <c r="D7" i="8" l="1"/>
  <c r="D11" i="8" s="1"/>
  <c r="D9" i="5"/>
  <c r="D8" i="5"/>
  <c r="G9" i="8"/>
  <c r="G10" i="8"/>
  <c r="G18" i="8" s="1"/>
  <c r="F9" i="8"/>
  <c r="F10" i="8"/>
  <c r="F18" i="8" s="1"/>
  <c r="H10" i="8"/>
  <c r="H18" i="8" s="1"/>
  <c r="H9" i="8"/>
  <c r="E13" i="8"/>
  <c r="E17" i="8"/>
  <c r="E19" i="8" s="1"/>
  <c r="G13" i="8" l="1"/>
  <c r="G17" i="8"/>
  <c r="G19" i="8" s="1"/>
  <c r="F13" i="8"/>
  <c r="F17" i="8"/>
  <c r="F19" i="8" s="1"/>
  <c r="D6" i="8"/>
  <c r="D10" i="5"/>
  <c r="H13" i="8"/>
  <c r="H17" i="8"/>
  <c r="H19" i="8" s="1"/>
  <c r="E8" i="5"/>
  <c r="D13" i="7"/>
  <c r="D16" i="7" s="1"/>
  <c r="D16" i="5"/>
  <c r="D17" i="5" s="1"/>
  <c r="D9" i="8" l="1"/>
  <c r="D10" i="8"/>
  <c r="D18" i="8" s="1"/>
  <c r="E10" i="5"/>
  <c r="D6" i="6"/>
  <c r="D9" i="6" s="1"/>
  <c r="D10" i="6" s="1"/>
  <c r="D12" i="5"/>
  <c r="D17" i="6"/>
  <c r="D18" i="6" s="1"/>
  <c r="D19" i="6" s="1"/>
  <c r="D7" i="7" s="1"/>
  <c r="D18" i="5"/>
  <c r="D8" i="8" s="1"/>
  <c r="D12" i="8" s="1"/>
  <c r="D24" i="8" s="1"/>
  <c r="F8" i="5"/>
  <c r="E13" i="7"/>
  <c r="E16" i="7" s="1"/>
  <c r="E16" i="5"/>
  <c r="E17" i="5" s="1"/>
  <c r="D29" i="8" l="1"/>
  <c r="D22" i="6"/>
  <c r="D11" i="7"/>
  <c r="D14" i="6"/>
  <c r="E17" i="6"/>
  <c r="E18" i="6" s="1"/>
  <c r="E19" i="6" s="1"/>
  <c r="E7" i="7" s="1"/>
  <c r="E18" i="5"/>
  <c r="E8" i="8" s="1"/>
  <c r="E12" i="8" s="1"/>
  <c r="E14" i="8" s="1"/>
  <c r="E20" i="8" s="1"/>
  <c r="E18" i="9" s="1"/>
  <c r="F10" i="5"/>
  <c r="E6" i="6"/>
  <c r="E9" i="6" s="1"/>
  <c r="E10" i="6" s="1"/>
  <c r="E12" i="5"/>
  <c r="G8" i="5"/>
  <c r="F16" i="5"/>
  <c r="F17" i="5" s="1"/>
  <c r="F13" i="7"/>
  <c r="F16" i="7" s="1"/>
  <c r="D13" i="8"/>
  <c r="D17" i="8"/>
  <c r="D19" i="8" s="1"/>
  <c r="E11" i="7" l="1"/>
  <c r="E22" i="6"/>
  <c r="E14" i="6"/>
  <c r="G10" i="5"/>
  <c r="F12" i="5"/>
  <c r="F6" i="6"/>
  <c r="F9" i="6" s="1"/>
  <c r="F10" i="6" s="1"/>
  <c r="F17" i="6"/>
  <c r="F18" i="6" s="1"/>
  <c r="F19" i="6" s="1"/>
  <c r="F7" i="7" s="1"/>
  <c r="F18" i="5"/>
  <c r="F8" i="8" s="1"/>
  <c r="F12" i="8" s="1"/>
  <c r="F14" i="8" s="1"/>
  <c r="F20" i="8" s="1"/>
  <c r="F18" i="9" s="1"/>
  <c r="E24" i="8"/>
  <c r="D14" i="8"/>
  <c r="D20" i="8" s="1"/>
  <c r="D23" i="8"/>
  <c r="D6" i="7"/>
  <c r="D19" i="7" s="1"/>
  <c r="D23" i="6"/>
  <c r="D26" i="6"/>
  <c r="D18" i="7"/>
  <c r="D17" i="7"/>
  <c r="G16" i="5"/>
  <c r="G17" i="5" s="1"/>
  <c r="H8" i="5"/>
  <c r="G13" i="7"/>
  <c r="G16" i="7" s="1"/>
  <c r="F24" i="8" l="1"/>
  <c r="E29" i="8"/>
  <c r="H13" i="7"/>
  <c r="H16" i="7" s="1"/>
  <c r="H16" i="5"/>
  <c r="H17" i="5" s="1"/>
  <c r="G18" i="5"/>
  <c r="G8" i="8" s="1"/>
  <c r="G12" i="8" s="1"/>
  <c r="G14" i="8" s="1"/>
  <c r="G20" i="8" s="1"/>
  <c r="G18" i="9" s="1"/>
  <c r="G17" i="6"/>
  <c r="G18" i="6" s="1"/>
  <c r="G19" i="6" s="1"/>
  <c r="G7" i="7" s="1"/>
  <c r="F14" i="6"/>
  <c r="F11" i="7"/>
  <c r="F22" i="6"/>
  <c r="D8" i="7"/>
  <c r="G6" i="6"/>
  <c r="G9" i="6" s="1"/>
  <c r="G10" i="6" s="1"/>
  <c r="G12" i="5"/>
  <c r="H10" i="5"/>
  <c r="E6" i="7"/>
  <c r="E19" i="7" s="1"/>
  <c r="E23" i="6"/>
  <c r="E26" i="6"/>
  <c r="E8" i="7" s="1"/>
  <c r="D28" i="8"/>
  <c r="D30" i="8" s="1"/>
  <c r="D7" i="9" s="1"/>
  <c r="E23" i="8"/>
  <c r="D25" i="8"/>
  <c r="D12" i="7" s="1"/>
  <c r="D18" i="9"/>
  <c r="E18" i="7"/>
  <c r="E17" i="7"/>
  <c r="E13" i="9" l="1"/>
  <c r="E14" i="9" s="1"/>
  <c r="F18" i="7"/>
  <c r="F17" i="7"/>
  <c r="F6" i="7"/>
  <c r="F19" i="7" s="1"/>
  <c r="F23" i="6"/>
  <c r="F26" i="6"/>
  <c r="F8" i="7" s="1"/>
  <c r="G22" i="6"/>
  <c r="G14" i="6"/>
  <c r="G11" i="7"/>
  <c r="D14" i="7"/>
  <c r="D15" i="7"/>
  <c r="H6" i="6"/>
  <c r="H9" i="6" s="1"/>
  <c r="H10" i="6" s="1"/>
  <c r="H12" i="5"/>
  <c r="H17" i="6"/>
  <c r="H18" i="6" s="1"/>
  <c r="H19" i="6" s="1"/>
  <c r="H7" i="7" s="1"/>
  <c r="H18" i="5"/>
  <c r="H8" i="8" s="1"/>
  <c r="H12" i="8" s="1"/>
  <c r="H14" i="8" s="1"/>
  <c r="H20" i="8" s="1"/>
  <c r="H18" i="9" s="1"/>
  <c r="D13" i="9"/>
  <c r="D14" i="9" s="1"/>
  <c r="D15" i="9" s="1"/>
  <c r="E25" i="8"/>
  <c r="E12" i="7" s="1"/>
  <c r="E28" i="8"/>
  <c r="E30" i="8" s="1"/>
  <c r="E7" i="9" s="1"/>
  <c r="F23" i="8"/>
  <c r="G24" i="8"/>
  <c r="F29" i="8"/>
  <c r="F28" i="8" l="1"/>
  <c r="F30" i="8" s="1"/>
  <c r="F7" i="9" s="1"/>
  <c r="G23" i="8"/>
  <c r="F25" i="8"/>
  <c r="F12" i="7" s="1"/>
  <c r="E14" i="7"/>
  <c r="E15" i="7"/>
  <c r="H11" i="7"/>
  <c r="H14" i="6"/>
  <c r="H22" i="6"/>
  <c r="D20" i="7"/>
  <c r="D23" i="7" s="1"/>
  <c r="G17" i="7"/>
  <c r="G18" i="7"/>
  <c r="G26" i="6"/>
  <c r="G6" i="7"/>
  <c r="G19" i="7" s="1"/>
  <c r="G23" i="6"/>
  <c r="E15" i="9"/>
  <c r="F13" i="9"/>
  <c r="F14" i="9" s="1"/>
  <c r="F15" i="9" s="1"/>
  <c r="H24" i="8"/>
  <c r="H29" i="8" s="1"/>
  <c r="G29" i="8"/>
  <c r="H6" i="7" l="1"/>
  <c r="H19" i="7" s="1"/>
  <c r="H23" i="6"/>
  <c r="H26" i="6"/>
  <c r="H8" i="7" s="1"/>
  <c r="D6" i="9"/>
  <c r="D8" i="9" s="1"/>
  <c r="D24" i="7"/>
  <c r="E20" i="7"/>
  <c r="E23" i="7" s="1"/>
  <c r="F14" i="7"/>
  <c r="F15" i="7"/>
  <c r="G8" i="7"/>
  <c r="G28" i="8"/>
  <c r="G30" i="8" s="1"/>
  <c r="G7" i="9" s="1"/>
  <c r="H23" i="8"/>
  <c r="G25" i="8"/>
  <c r="G12" i="7" s="1"/>
  <c r="H18" i="7"/>
  <c r="H17" i="7"/>
  <c r="G13" i="9" l="1"/>
  <c r="G14" i="9" s="1"/>
  <c r="G15" i="9" s="1"/>
  <c r="E6" i="9"/>
  <c r="E8" i="9" s="1"/>
  <c r="E24" i="7"/>
  <c r="D9" i="9"/>
  <c r="D10" i="9" s="1"/>
  <c r="D19" i="9" s="1"/>
  <c r="F20" i="7"/>
  <c r="F23" i="7" s="1"/>
  <c r="G15" i="7"/>
  <c r="G14" i="7"/>
  <c r="G20" i="7" s="1"/>
  <c r="G23" i="7" s="1"/>
  <c r="H28" i="8"/>
  <c r="H30" i="8" s="1"/>
  <c r="H7" i="9" s="1"/>
  <c r="D22" i="10" s="1"/>
  <c r="D23" i="10" s="1"/>
  <c r="H25" i="8"/>
  <c r="H12" i="7" s="1"/>
  <c r="H13" i="9"/>
  <c r="H14" i="9" s="1"/>
  <c r="H15" i="9" s="1"/>
  <c r="G6" i="9" l="1"/>
  <c r="G8" i="9" s="1"/>
  <c r="G24" i="7"/>
  <c r="D7" i="10"/>
  <c r="D20" i="9"/>
  <c r="F6" i="9"/>
  <c r="F8" i="9" s="1"/>
  <c r="F24" i="7"/>
  <c r="H14" i="7"/>
  <c r="H20" i="7" s="1"/>
  <c r="H23" i="7" s="1"/>
  <c r="H15" i="7"/>
  <c r="E9" i="9"/>
  <c r="E10" i="9" s="1"/>
  <c r="E19" i="9" s="1"/>
  <c r="E7" i="10" l="1"/>
  <c r="H6" i="9"/>
  <c r="H8" i="9" s="1"/>
  <c r="H24" i="7"/>
  <c r="F9" i="9"/>
  <c r="F10" i="9"/>
  <c r="F19" i="9" s="1"/>
  <c r="E20" i="9"/>
  <c r="D15" i="10"/>
  <c r="D9" i="10"/>
  <c r="G9" i="9"/>
  <c r="G10" i="9" s="1"/>
  <c r="G19" i="9" s="1"/>
  <c r="G7" i="10" l="1"/>
  <c r="F20" i="9"/>
  <c r="F7" i="10"/>
  <c r="D15" i="2"/>
  <c r="H9" i="9"/>
  <c r="H10" i="9" s="1"/>
  <c r="D17" i="10"/>
  <c r="E15" i="10"/>
  <c r="E9" i="10"/>
  <c r="H19" i="9" l="1"/>
  <c r="D21" i="10"/>
  <c r="D25" i="10" s="1"/>
  <c r="D26" i="10" s="1"/>
  <c r="D27" i="10" s="1"/>
  <c r="F15" i="10"/>
  <c r="F9" i="10"/>
  <c r="G20" i="9"/>
  <c r="E17" i="10"/>
  <c r="G15" i="10"/>
  <c r="G9" i="10"/>
  <c r="H20" i="9" l="1"/>
  <c r="F17" i="10"/>
  <c r="G17" i="10" s="1"/>
  <c r="H7" i="10"/>
  <c r="H9" i="10" l="1"/>
  <c r="H15" i="10"/>
  <c r="D16" i="10" s="1"/>
  <c r="H17" i="10"/>
  <c r="D18" i="10" s="1"/>
  <c r="D12" i="2" l="1"/>
  <c r="C12" i="2"/>
  <c r="D13" i="10"/>
  <c r="D19" i="10"/>
  <c r="C15" i="2" s="1"/>
  <c r="D14" i="10"/>
  <c r="B12" i="2" l="1"/>
  <c r="B15" i="2"/>
</calcChain>
</file>

<file path=xl/sharedStrings.xml><?xml version="1.0" encoding="utf-8"?>
<sst xmlns="http://schemas.openxmlformats.org/spreadsheetml/2006/main" count="531" uniqueCount="372">
  <si>
    <t>RELIANCE INDUSTRIES LIMITED</t>
  </si>
  <si>
    <t>EV Fast-Charging &amp; Battery Energy Storage (BESS)
New-Entry Investment Model</t>
  </si>
  <si>
    <t>PROJECT SUMMARY</t>
  </si>
  <si>
    <t>Project scope</t>
  </si>
  <si>
    <t>5-year (FY2026-FY2030) unlevered project appraisal: rollout, revenue, opex, capex, D&amp;A, working capital, FCF, NPV, IRR, payback, scenarios &amp; sensitivity</t>
  </si>
  <si>
    <t>Company</t>
  </si>
  <si>
    <t>Reliance Industries Limited (Jio-bp / Reliance BP Mobility Ltd JV with bp; Reliance New Energy)</t>
  </si>
  <si>
    <t>Currency / units</t>
  </si>
  <si>
    <t>INR crore (₹ cr) unless stated; per-unit assumptions in ₹/kWh, ₹ lakh, ₹ cr</t>
  </si>
  <si>
    <t>Forecast period</t>
  </si>
  <si>
    <t>FY2026E - FY2030E (5 years)</t>
  </si>
  <si>
    <t>Base discount rate (WACC)</t>
  </si>
  <si>
    <t>11.25% project discount rate (see Valuation; not an official company WACC)</t>
  </si>
  <si>
    <t>Model type</t>
  </si>
  <si>
    <t>Project (unlevered) DCF; headline NPV/IRR are 5-yr project-cash-flow based; terminal value shown only as separate sensitivity</t>
  </si>
  <si>
    <t>EXECUTIVE SUMMARY</t>
  </si>
  <si>
    <t>Reliance Industries - EV Fast-Charging &amp; BESS New-Entry (FY2026-FY2030, INR crore)</t>
  </si>
  <si>
    <t>INVESTMENT THESIS</t>
  </si>
  <si>
    <t>Reliance can extend its market-leading Jio-bp Pulse network (701 sites / 5,750 points at FY25) into incremental fast-charging plus co-located battery storage, leveraging RBML fuel-retail real estate, a 95% DC-fast / 96%-uptime platform, MoP's de-licensed regime and PM E-DRIVE capex subsidies. The project is capital-heavy and cash-negative during the 5-year build-out, but the long-lived asset base (8-10 yr) and a 49% EV-demand CAGR to 2030 make it value-accretive once residual (post-FY30 steady-state) cash flows are included.</t>
  </si>
  <si>
    <t>HEADLINE RESULTS (active scenario)</t>
  </si>
  <si>
    <t>Active scenario:</t>
  </si>
  <si>
    <t>NPV incl. residual (Rs cr)</t>
  </si>
  <si>
    <t>IRR incl. residual</t>
  </si>
  <si>
    <t>Discounted payback</t>
  </si>
  <si>
    <t>NPV 5-yr build only (Rs cr)</t>
  </si>
  <si>
    <t>Profitability index</t>
  </si>
  <si>
    <t>FY30 EBITDA margin</t>
  </si>
  <si>
    <t>SCENARIO FRAMING</t>
  </si>
  <si>
    <t>Driver</t>
  </si>
  <si>
    <t>Downside</t>
  </si>
  <si>
    <t>Base</t>
  </si>
  <si>
    <t>Upside</t>
  </si>
  <si>
    <t>New sites (5yr)</t>
  </si>
  <si>
    <t>Utilization FY30</t>
  </si>
  <si>
    <t>Service charge FY30 (Rs/kWh)</t>
  </si>
  <si>
    <t>EVSE capex/charger (Rs lakh)</t>
  </si>
  <si>
    <t>Subsidy-eligible share</t>
  </si>
  <si>
    <t>WACC</t>
  </si>
  <si>
    <t>RECOMMENDATION</t>
  </si>
  <si>
    <t>PROCEED selectively. Base case is NPV-positive including residual value with a ~24% IRR, but returns are highly sensitive to utilization and service-charge realization (see Sensitivity T1/T4). Recommend: (1) phase rollout to high-footfall RBML/highway sites to protect early utilization; (2) maximise PM E-DRIVE Cat-B subsidy capture; (3) attach BESS only where arbitrage spreads justify; (4) gate further capex on achieving &gt;=15% utilization by FY28. On a pure 5-year build-phase basis the project is cash-negative - this is a long-duration infrastructure bet.</t>
  </si>
  <si>
    <t>To read all three cases set Assumptions!G4 to 1/2/3 and record the headline cards. Sensitivity tab shows continuous NPV &amp; IRR ranges. WACC of 11.25% (base) is a project discount rate, not Reliance's official company WACC.</t>
  </si>
  <si>
    <t>SOURCE DATA - Reliance FY25 financials &amp; market/industry facts</t>
  </si>
  <si>
    <t>Metric / Fact</t>
  </si>
  <si>
    <t>Value</t>
  </si>
  <si>
    <t>Unit</t>
  </si>
  <si>
    <t>Source (see Sources tab)</t>
  </si>
  <si>
    <t>-- Reliance Industries FY2024-25 (consolidated) --</t>
  </si>
  <si>
    <t>Consolidated revenue</t>
  </si>
  <si>
    <t>₹ cr</t>
  </si>
  <si>
    <t>RIL FY25 results release / AR FY24-25</t>
  </si>
  <si>
    <t>EBITDA</t>
  </si>
  <si>
    <t>PAT (incl. share of assoc./JV)</t>
  </si>
  <si>
    <t>Cash profit</t>
  </si>
  <si>
    <t>RIL AR FY24-25 financial performance</t>
  </si>
  <si>
    <t>Gross debt</t>
  </si>
  <si>
    <t>Net debt</t>
  </si>
  <si>
    <t>Capex (FY25)</t>
  </si>
  <si>
    <t>Green financing - SACE Push facilities</t>
  </si>
  <si>
    <t>$ bn eq.</t>
  </si>
  <si>
    <t>RIL AR FY24-25 (green capex)</t>
  </si>
  <si>
    <t>-- Jio-bp / Reliance BP Mobility (RBML) --</t>
  </si>
  <si>
    <t>Country-wide fuel retail outlets (Jio-bp/RBML)</t>
  </si>
  <si>
    <t>outlets</t>
  </si>
  <si>
    <t>RIL FY25 results release</t>
  </si>
  <si>
    <t>Jio-bp Pulse live charging points (results release)</t>
  </si>
  <si>
    <t>points</t>
  </si>
  <si>
    <t>Jio-bp Pulse unique charging sites</t>
  </si>
  <si>
    <t>sites</t>
  </si>
  <si>
    <t>Jio-bp charging points (EV page)</t>
  </si>
  <si>
    <t>Jio-bp EV charging page</t>
  </si>
  <si>
    <t>Jio-bp charging stations (EV page)</t>
  </si>
  <si>
    <t>stations</t>
  </si>
  <si>
    <t>Jio-bp fast-charging network share</t>
  </si>
  <si>
    <t>%</t>
  </si>
  <si>
    <t>Jio-bp network uptime</t>
  </si>
  <si>
    <t>Jio-bp top-rated charger rating deployed</t>
  </si>
  <si>
    <t>kW</t>
  </si>
  <si>
    <t>-- India EV charging market --</t>
  </si>
  <si>
    <t>EV charging stations installed (last 5 yrs)</t>
  </si>
  <si>
    <t>PIB EV charging station data</t>
  </si>
  <si>
    <t xml:space="preserve">  of which fast chargers</t>
  </si>
  <si>
    <t xml:space="preserve">  of which slow chargers</t>
  </si>
  <si>
    <t>Operational public charging stations</t>
  </si>
  <si>
    <t>Invest India electric mobility</t>
  </si>
  <si>
    <t>PM E-DRIVE allocation</t>
  </si>
  <si>
    <t>PIB PM E-DRIVE / EV charging data</t>
  </si>
  <si>
    <t>EV segment CAGR 2021-2030</t>
  </si>
  <si>
    <t>EV annual sales by 2030 (target)</t>
  </si>
  <si>
    <t>mn units</t>
  </si>
  <si>
    <t>Current EV penetration</t>
  </si>
  <si>
    <t>EV GST rate</t>
  </si>
  <si>
    <t>-- Ministry of Power EVCI guidelines (17 Sep 2024) --</t>
  </si>
  <si>
    <t>Service charge ceiling - DC fast, solar hours</t>
  </si>
  <si>
    <t>₹/kWh</t>
  </si>
  <si>
    <t>MoP EVCI guidelines 2024</t>
  </si>
  <si>
    <t>Service charge ceiling - DC fast, non-solar hours</t>
  </si>
  <si>
    <t>Land revenue-share model floor</t>
  </si>
  <si>
    <t>DISCOM tariff multiple - solar hours (x ACoS)</t>
  </si>
  <si>
    <t>x</t>
  </si>
  <si>
    <t>DISCOM tariff multiple - non-solar hours (x ACoS)</t>
  </si>
  <si>
    <t>Charger standard - Level 3</t>
  </si>
  <si>
    <t>kW (50-250)</t>
  </si>
  <si>
    <t>Charger standard - Level 4</t>
  </si>
  <si>
    <t>kW (250-500)</t>
  </si>
  <si>
    <t>-- BESS economics &amp; policy (PIB) --</t>
  </si>
  <si>
    <t>BESS levelised cost (recent, no VGF, 2 cycles)</t>
  </si>
  <si>
    <t>PIB BESS cost</t>
  </si>
  <si>
    <t>BESS cost at 1.5 cycles/day (market trend)</t>
  </si>
  <si>
    <t>Solar tariff (reference)</t>
  </si>
  <si>
    <t>ACC PLI outlay</t>
  </si>
  <si>
    <t>PIB BESS cost / ACC PLI</t>
  </si>
  <si>
    <t>Storage requirement by 2026-27 (energy)</t>
  </si>
  <si>
    <t>GWh</t>
  </si>
  <si>
    <t>PIB National Electricity Plan</t>
  </si>
  <si>
    <t>Storage requirement by 2031-32 (energy)</t>
  </si>
  <si>
    <t>-- PM E-DRIVE charging subsidies --</t>
  </si>
  <si>
    <t>Category B - upstream infra support</t>
  </si>
  <si>
    <t>PIB PM E-DRIVE subsidy</t>
  </si>
  <si>
    <t>Category B - EVSE support</t>
  </si>
  <si>
    <t>Category C - upstream infra support</t>
  </si>
  <si>
    <t>-- Tax --</t>
  </si>
  <si>
    <t>India corporate tax rate (assumed, incl. cess)</t>
  </si>
  <si>
    <t>General India corporate tax assumption (editable)</t>
  </si>
  <si>
    <t>ASSUMPTIONS - scenario-driven inputs</t>
  </si>
  <si>
    <t>SCENARIO SELECTOR  (1=Downside, 2=Base, 3=Upside)</t>
  </si>
  <si>
    <t>Assumption</t>
  </si>
  <si>
    <t>ACTIVE</t>
  </si>
  <si>
    <t>Source / justification</t>
  </si>
  <si>
    <t>Source link</t>
  </si>
  <si>
    <t>ROLLOUT &amp; NETWORK ARCHITECTURE</t>
  </si>
  <si>
    <t>Total NEW incremental sites added over 5 yrs</t>
  </si>
  <si>
    <t>Incremental to Jio-bp FY25 base of 701 unique sites / 5,750 points; conservative new-build pace</t>
  </si>
  <si>
    <t>https://www.ril.com/sites/default/files/2025-04/25042025_Media_Release_RIL_Q4_FY2024_25_Financial_and_Operational_Performance.pdf</t>
  </si>
  <si>
    <t>Avg DC fast chargers per new site</t>
  </si>
  <si>
    <t>#</t>
  </si>
  <si>
    <t>MoP Level 3/4 standards; Jio-bp 95% fast-charging positioning</t>
  </si>
  <si>
    <t>https://powermin.gov.in/sites/default/files/Guidelines_and_Standards_for_EVCI_dated_17_09_2024.pdf</t>
  </si>
  <si>
    <t>Avg rated power per charger</t>
  </si>
  <si>
    <t>MoP Level 3 (50-250kW)/Level 4 (250-500kW); blended passenger+commercial</t>
  </si>
  <si>
    <t>% of new sites with co-located BESS by FY30</t>
  </si>
  <si>
    <t>Selective BESS attach for peak shaving/arbitrage; NEP storage build-out</t>
  </si>
  <si>
    <t>https://www.pib.gov.in/PressReleasePage.aspx?PRID=1928750</t>
  </si>
  <si>
    <t>Avg BESS energy per attached site</t>
  </si>
  <si>
    <t>kWh</t>
  </si>
  <si>
    <t>Sized for fast-charge peak buffering; editable</t>
  </si>
  <si>
    <t>https://www.pib.gov.in/PressReleaseIframePage.aspx?PRID=2204118&amp;reg=3&amp;lang=2</t>
  </si>
  <si>
    <t>UTILIZATION RAMP</t>
  </si>
  <si>
    <t>Utilization - FY26 (start)</t>
  </si>
  <si>
    <t>Conservative early utilization for public DC fast charging vs low current 5% EV penetration</t>
  </si>
  <si>
    <t>https://www.investindia.gov.in/sector/electric-mobility</t>
  </si>
  <si>
    <t>Utilization - FY30 (end)</t>
  </si>
  <si>
    <t>Ramp with 8x charging growth / 49% EV CAGR to 2030; still below saturation</t>
  </si>
  <si>
    <t>REVENUE &amp; TARIFF</t>
  </si>
  <si>
    <t>Service charge - FY26 (start)</t>
  </si>
  <si>
    <t>Below MoP DC-fast ceiling ₹11/kWh solar; blended day/night</t>
  </si>
  <si>
    <t>Service charge - FY30 (end)</t>
  </si>
  <si>
    <t>Blended below ₹13/kWh non-solar ceiling; pricing power as utilization rises</t>
  </si>
  <si>
    <t>Electricity pass-through cost</t>
  </si>
  <si>
    <t>DISCOM tariff (0.7x ACoS solar/1.3x non-solar); pass-through, near-zero margin</t>
  </si>
  <si>
    <t>Land revenue share paid</t>
  </si>
  <si>
    <t>MoP revenue-share floor ₹1/kWh where applicable</t>
  </si>
  <si>
    <t>BESS arbitrage net spread</t>
  </si>
  <si>
    <t>Charge ~₹2.5 solar, discharge at peak; 1.5-2 cycles/day economics</t>
  </si>
  <si>
    <t>BESS cycles per day</t>
  </si>
  <si>
    <t>#/day</t>
  </si>
  <si>
    <t>PIB market trend ~1.5 cycles/day</t>
  </si>
  <si>
    <t>CAPEX (gross, before subsidy)</t>
  </si>
  <si>
    <t>EVSE+installation capex per DC fast charger</t>
  </si>
  <si>
    <t>₹ lakh</t>
  </si>
  <si>
    <t>Hardware+install for 100-150kW DC fast charger; volume discounts in upside</t>
  </si>
  <si>
    <t>Upstream/grid capex per charger</t>
  </si>
  <si>
    <t>Transformer, cabling, metering; PM E-DRIVE upstream category</t>
  </si>
  <si>
    <t>https://www.pib.gov.in/PressReleasePage.aspx?PRID=2200851&amp;reg=3&amp;lang=1</t>
  </si>
  <si>
    <t>Site development capex per site</t>
  </si>
  <si>
    <t>Civil, canopy, signage at RBML/host site</t>
  </si>
  <si>
    <t>BESS capex per MWh</t>
  </si>
  <si>
    <t>₹ cr/MWh</t>
  </si>
  <si>
    <t>Falling cell costs; ACC PLI localisation; editable</t>
  </si>
  <si>
    <t>SUBSIDY (PM E-DRIVE Category B)</t>
  </si>
  <si>
    <t>% of new sites qualifying for Cat-B subsidy</t>
  </si>
  <si>
    <t>Eligibility depends on approved public/Govt city-highway locations</t>
  </si>
  <si>
    <t>Subsidy rate on EVSE (Cat-B)</t>
  </si>
  <si>
    <t>PM E-DRIVE Cat-B EVSE 70%</t>
  </si>
  <si>
    <t>Subsidy rate on upstream (Cat-B)</t>
  </si>
  <si>
    <t>PM E-DRIVE Cat-B upstream 80%</t>
  </si>
  <si>
    <t>OPEX</t>
  </si>
  <si>
    <t>Maintenance % of gross capex p.a.</t>
  </si>
  <si>
    <t>Industry O&amp;M norm for DC fast chargers</t>
  </si>
  <si>
    <t>Staff / site operations per site p.a.</t>
  </si>
  <si>
    <t>Shared staffing across host sites</t>
  </si>
  <si>
    <t>Software/network/customer support</t>
  </si>
  <si>
    <t>CMS, payments, support per kWh dispensed</t>
  </si>
  <si>
    <t>https://www.jiobp.com/news/ev-charging-news-new</t>
  </si>
  <si>
    <t>Central SG&amp;A % of service revenue</t>
  </si>
  <si>
    <t>Corporate overhead allocation</t>
  </si>
  <si>
    <t>https://www.ril.com/ar2024-25/financial-performance-and-review.html</t>
  </si>
  <si>
    <t>Insurance % of gross capex p.a.</t>
  </si>
  <si>
    <t>Asset insurance</t>
  </si>
  <si>
    <t>WORKING CAPITAL, TAX, DEPRECIATION &amp; DISCOUNT RATE</t>
  </si>
  <si>
    <t>Net working capital % of total revenue</t>
  </si>
  <si>
    <t>Receivables (fleet/credit) less payables; light NWC business</t>
  </si>
  <si>
    <t>Corporate tax rate (incl. cess)</t>
  </si>
  <si>
    <t>Depreciation life - chargers/site infra</t>
  </si>
  <si>
    <t>yrs</t>
  </si>
  <si>
    <t>Straight-line useful life assumption</t>
  </si>
  <si>
    <t>Depreciation life - BESS</t>
  </si>
  <si>
    <t>Battery useful life assumption</t>
  </si>
  <si>
    <t>WACC (project discount rate)</t>
  </si>
  <si>
    <t>11.25% base for consistency with prior Reliance NPV/IRR work; not official company WACC</t>
  </si>
  <si>
    <t>ROLLOUT PLAN - sites, chargers, BESS, ramp by year</t>
  </si>
  <si>
    <t>(INR crore unless stated)</t>
  </si>
  <si>
    <t>FY2026</t>
  </si>
  <si>
    <t>FY2027</t>
  </si>
  <si>
    <t>FY2028</t>
  </si>
  <si>
    <t>FY2029</t>
  </si>
  <si>
    <t>FY2030</t>
  </si>
  <si>
    <t>INCREMENTAL SITE ROLLOUT (new sites only)</t>
  </si>
  <si>
    <t>Annual rollout weight (% of total new sites)</t>
  </si>
  <si>
    <t xml:space="preserve">   New sites added in year</t>
  </si>
  <si>
    <t>Cumulative new sites operating</t>
  </si>
  <si>
    <t xml:space="preserve">   Chargers added in year</t>
  </si>
  <si>
    <t>Cumulative chargers operating</t>
  </si>
  <si>
    <t xml:space="preserve">   Avg rated power per charger (kW)</t>
  </si>
  <si>
    <t>Total installed capacity (MW)</t>
  </si>
  <si>
    <t>CO-LOCATED BESS ROLLOUT</t>
  </si>
  <si>
    <t>BESS attach % of cumulative sites (ramp to FY30 target)</t>
  </si>
  <si>
    <t xml:space="preserve">   Cumulative BESS-attached sites</t>
  </si>
  <si>
    <t>Cumulative BESS energy installed (MWh)</t>
  </si>
  <si>
    <t xml:space="preserve">   Incremental BESS energy added (MWh)</t>
  </si>
  <si>
    <t>UTILIZATION RAMP (linear)</t>
  </si>
  <si>
    <t>Average charger utilization (%)</t>
  </si>
  <si>
    <t>Note: New sites are incremental to the Jio-bp FY25 base of 701 unique sites and 5,750 live charging points. Rollout weights are editable (blue). Utilization and BESS attach interpolate linearly to the FY30 targets on the Assumptions tab.</t>
  </si>
  <si>
    <t>REVENUE BUILD</t>
  </si>
  <si>
    <t>ENERGY DISPENSED</t>
  </si>
  <si>
    <t>Cumulative chargers operating (link)</t>
  </si>
  <si>
    <t>Avg rated power per charger (kW, link)</t>
  </si>
  <si>
    <t>Utilization (%, link)</t>
  </si>
  <si>
    <t>Energy dispensed (mn kWh)</t>
  </si>
  <si>
    <t xml:space="preserve">   Energy dispensed (kWh, for INR/kWh math)</t>
  </si>
  <si>
    <t>SERVICE-CHARGE REVENUE (project revenue)</t>
  </si>
  <si>
    <t>Blended service charge (Rs/kWh)</t>
  </si>
  <si>
    <t>Service-charge revenue (Rs cr)</t>
  </si>
  <si>
    <t>BESS ARBITRAGE REVENUE</t>
  </si>
  <si>
    <t>BESS energy installed (MWh, link)</t>
  </si>
  <si>
    <t xml:space="preserve">   BESS throughput (mn kWh) = MWh*1000*cycles*365</t>
  </si>
  <si>
    <t>BESS arbitrage revenue (Rs cr)</t>
  </si>
  <si>
    <t>MEMO: PASS-THROUGH ITEMS (excluded from project revenue/FCF)</t>
  </si>
  <si>
    <t>Electricity pass-through (Rs cr) - memo only</t>
  </si>
  <si>
    <t>GST on service charge (Rs cr) - memo, pass-through</t>
  </si>
  <si>
    <t>TOTAL PROJECT REVENUE</t>
  </si>
  <si>
    <t>Total project revenue (service + BESS arbitrage)</t>
  </si>
  <si>
    <t>Note: Energy dispensed = chargers x rated kW x 24 x 365 x utilization. Project revenue = service-charge revenue + BESS arbitrage. Electricity and GST are shown as memo pass-throughs (near-zero margin / collected on behalf of govt) and are EXCLUDED from project revenue, EBITDA and FCF.</t>
  </si>
  <si>
    <t>OPEX &amp; EBITDA</t>
  </si>
  <si>
    <t>REVENUE (link)</t>
  </si>
  <si>
    <t>Service-charge revenue (link)</t>
  </si>
  <si>
    <t>BESS arbitrage revenue (link)</t>
  </si>
  <si>
    <t>Total project revenue (link)</t>
  </si>
  <si>
    <t>OPERATING COSTS</t>
  </si>
  <si>
    <t>Energy dispensed (kWh, link)</t>
  </si>
  <si>
    <t>Cumulative gross capex (link)</t>
  </si>
  <si>
    <t>Cumulative sites operating (link)</t>
  </si>
  <si>
    <t xml:space="preserve">   Maintenance (Rs cr)</t>
  </si>
  <si>
    <t xml:space="preserve">   Insurance (Rs cr)</t>
  </si>
  <si>
    <t xml:space="preserve">   Staff / site operations (Rs cr)</t>
  </si>
  <si>
    <t xml:space="preserve">   Software / network / support (Rs cr)</t>
  </si>
  <si>
    <t xml:space="preserve">   Land revenue share (Rs cr)</t>
  </si>
  <si>
    <t xml:space="preserve">   Central SG&amp;A (Rs cr)</t>
  </si>
  <si>
    <t>Total operating costs (Rs cr)</t>
  </si>
  <si>
    <t>EBITDA (Rs cr)</t>
  </si>
  <si>
    <t>EBITDA margin (% of project revenue)</t>
  </si>
  <si>
    <t>Note: EBITDA excludes electricity and GST pass-throughs (shown as memo on Revenue Build). Maintenance and insurance are % of cumulative gross capex; staff is per operating site; software/support and land revenue-share are per kWh dispensed; SG&amp;A is % of service-charge revenue.</t>
  </si>
  <si>
    <t>CAPEX &amp; DEPRECIATION / AMORTISATION</t>
  </si>
  <si>
    <t>GROSS CAPEX (before subsidy) - on assets added in year</t>
  </si>
  <si>
    <t>Chargers added (link)</t>
  </si>
  <si>
    <t>New sites added (link)</t>
  </si>
  <si>
    <t>BESS energy added (MWh, link)</t>
  </si>
  <si>
    <t xml:space="preserve">   EVSE + installation capex (Rs cr)</t>
  </si>
  <si>
    <t xml:space="preserve">   Upstream / grid capex (Rs cr)</t>
  </si>
  <si>
    <t xml:space="preserve">   Site development capex (Rs cr)</t>
  </si>
  <si>
    <t xml:space="preserve">   BESS capex (Rs cr)</t>
  </si>
  <si>
    <t>Gross capex - chargers/site infra (Rs cr)</t>
  </si>
  <si>
    <t>Total gross capex (Rs cr)</t>
  </si>
  <si>
    <t>SUBSIDY (PM E-DRIVE Cat-B) - reduces net capex</t>
  </si>
  <si>
    <t xml:space="preserve">   EVSE subsidy (Rs cr)</t>
  </si>
  <si>
    <t xml:space="preserve">   Upstream subsidy (Rs cr)</t>
  </si>
  <si>
    <t>Total subsidy received (Rs cr)</t>
  </si>
  <si>
    <t>NET CAPEX (Rs cr)</t>
  </si>
  <si>
    <t>CUMULATIVE GROSS CAPEX (for opex bases)</t>
  </si>
  <si>
    <t>Cumulative gross capex - infra (Rs cr)</t>
  </si>
  <si>
    <t>Cumulative gross capex - BESS (Rs cr)</t>
  </si>
  <si>
    <t>Cumulative gross capex - total (Rs cr)</t>
  </si>
  <si>
    <t>DEPRECIATION (straight-line on gross capex by vintage)</t>
  </si>
  <si>
    <t xml:space="preserve">   Depreciation - infra (Rs cr) = cum infra / life</t>
  </si>
  <si>
    <t xml:space="preserve">   Depreciation - BESS (Rs cr) = cum BESS / life</t>
  </si>
  <si>
    <t>Total depreciation (Rs cr)</t>
  </si>
  <si>
    <t>Note: Gross capex per charger = EVSE+install (Rs/lakh) + upstream (Rs/lakh); site development per site; BESS per MWh. Subsidy applies to the qualifying % of new sites at PM E-DRIVE Cat-B rates (70% EVSE / 80% upstream). Depreciation is straight-line: cumulative gross capex / useful life (10 yrs infra, 8 yrs BESS) - a simplified vintage-pool SL within the 5-year window.</t>
  </si>
  <si>
    <t>WORKING CAPITAL &amp; UNLEVERED FREE CASH FLOW</t>
  </si>
  <si>
    <t>EBIT &amp; TAX</t>
  </si>
  <si>
    <t>EBITDA (link)</t>
  </si>
  <si>
    <t>Depreciation (link)</t>
  </si>
  <si>
    <t>EBIT (Rs cr)</t>
  </si>
  <si>
    <t xml:space="preserve">   Tax on EBIT (Rs cr) - taxed only if EBIT&gt;0</t>
  </si>
  <si>
    <t>NOPAT (Rs cr)</t>
  </si>
  <si>
    <t>WORKING CAPITAL</t>
  </si>
  <si>
    <t>Total revenue (link)</t>
  </si>
  <si>
    <t>Net working capital (Rs cr) = % x revenue</t>
  </si>
  <si>
    <t xml:space="preserve">   Change in NWC (Rs cr) - cash outflow if +ve</t>
  </si>
  <si>
    <t>UNLEVERED FREE CASH FLOW</t>
  </si>
  <si>
    <t>Net capex (link)</t>
  </si>
  <si>
    <t>Unlevered FCF (Rs cr) = NOPAT + Dep - Capex - dNWC</t>
  </si>
  <si>
    <t>Cumulative FCF (Rs cr)</t>
  </si>
  <si>
    <t>Note: Unlevered FCF = NOPAT + Depreciation - Net capex - Increase in NWC. Tax applies only to positive EBIT (no carry-forward modelled, conservative). Subsidy already nets capex on the Capex &amp; DA tab.</t>
  </si>
  <si>
    <t>VALUATION - NPV, IRR, Payback</t>
  </si>
  <si>
    <t>PROJECT CASH FLOWS (unlevered)</t>
  </si>
  <si>
    <t>Discount period (yr-end, t)</t>
  </si>
  <si>
    <t>Unlevered FCF (link)</t>
  </si>
  <si>
    <t>Discount factor = 1/(1+WACC)^t</t>
  </si>
  <si>
    <t>PV of FCF (Rs cr)</t>
  </si>
  <si>
    <t>HEADLINE PROJECT VALUATION (5-yr, no terminal value)</t>
  </si>
  <si>
    <t>WACC (project discount rate, link)</t>
  </si>
  <si>
    <t>NPV - 5yr build phase only, no residual (Rs cr)</t>
  </si>
  <si>
    <t>NPV incl. residual value (Rs cr)  &lt;-- HEADLINE</t>
  </si>
  <si>
    <t>Project FCF incl. residual (Rs cr)</t>
  </si>
  <si>
    <t>IRR incl. residual value (5-yr)  &lt;-- HEADLINE</t>
  </si>
  <si>
    <t>Cumulative PV incl. residual (Rs cr)</t>
  </si>
  <si>
    <t>Discounted payback (yrs, incl. residual)</t>
  </si>
  <si>
    <t>Profitability index (PV inflows incl. TV / PV outflows)</t>
  </si>
  <si>
    <t>RESIDUAL (TERMINAL) VALUE - normalized steady-state beyond FY30</t>
  </si>
  <si>
    <t>FY30 NOPAT (link)</t>
  </si>
  <si>
    <t>FY30 depreciation (link)</t>
  </si>
  <si>
    <t>Steady-state maintenance capex (= depreciation)</t>
  </si>
  <si>
    <t>Terminal growth rate (g)</t>
  </si>
  <si>
    <t>Normalized steady-state FCF (Rs cr)</t>
  </si>
  <si>
    <t>Terminal value at FY30 = FCF*(1+g)/(WACC-g)</t>
  </si>
  <si>
    <t>PV of terminal value (Rs cr)</t>
  </si>
  <si>
    <t>Note: This project is cash-flow negative during the 5-year build-out (continuous growth capex), then generates steady cash once rollout completes. As chargers/BESS have 8-10 year lives, a residual (terminal) value captures post-FY30 cash. Normalized FCF assumes maintenance capex only (no further growth capex) and stable NWC. Headline NPV/IRR (rows 14-19) include this residual value; the pure 5-year NPV (D13) is shown for transparency.</t>
  </si>
  <si>
    <t>SOURCES - full reference list</t>
  </si>
  <si>
    <t>Source</t>
  </si>
  <si>
    <t>Key facts used</t>
  </si>
  <si>
    <t>Date accessed</t>
  </si>
  <si>
    <t>How used in model</t>
  </si>
  <si>
    <t>Reliability</t>
  </si>
  <si>
    <t>Reliance AR FY2024-25 - Financial Performance &amp; Review</t>
  </si>
  <si>
    <t>23 Jun 2026</t>
  </si>
  <si>
    <t>Source Data; benchmarks SG&amp;A/tax/NWC/WACC notes</t>
  </si>
  <si>
    <t>High - primary issuer disclosure</t>
  </si>
  <si>
    <t>Reliance Q4 FY2024-25 Media Release (PDF)</t>
  </si>
  <si>
    <t>FY25 base of 701 sites / 5,750 points; incremental rollout anchor</t>
  </si>
  <si>
    <t>Jio-bp EV Charging news page</t>
  </si>
  <si>
    <t>Charger architecture, fast-charging %, software opex</t>
  </si>
  <si>
    <t>High - first-party operator</t>
  </si>
  <si>
    <t>PIB - EV charging station data</t>
  </si>
  <si>
    <t>https://www.pib.gov.in/PressReleasePage.aspx?PRID=2204635&amp;reg=3&amp;lang=2</t>
  </si>
  <si>
    <t>Market context; de-licensed regulatory basis</t>
  </si>
  <si>
    <t>High - Govt of India</t>
  </si>
  <si>
    <t>Ministry of Power - EVCI Guidelines (17 Sep 2024, PDF)</t>
  </si>
  <si>
    <t>Service-charge pricing ceiling, tariff pass-through, charger power, land share</t>
  </si>
  <si>
    <t>High - Govt of India regulation</t>
  </si>
  <si>
    <t>Invest India - Electric Mobility</t>
  </si>
  <si>
    <t>Utilization ramp justification; demand growth</t>
  </si>
  <si>
    <t>High - Govt investment agency</t>
  </si>
  <si>
    <t>NITI Aayog - e-Mobility division</t>
  </si>
  <si>
    <t>https://niti.gov.in/divisions/division/e-mobility</t>
  </si>
  <si>
    <t>Policy/subsidy context</t>
  </si>
  <si>
    <t>High - Govt think tank</t>
  </si>
  <si>
    <t>PIB - BESS cost &amp; policy</t>
  </si>
  <si>
    <t>BESS arbitrage spread, cycles, BESS capex</t>
  </si>
  <si>
    <t>PIB - National Electricity Plan (storage)</t>
  </si>
  <si>
    <t>BESS attach growth context</t>
  </si>
  <si>
    <t>PIB - PM E-DRIVE subsidy</t>
  </si>
  <si>
    <t>Subsidy rates and eligibility share</t>
  </si>
  <si>
    <t>All assumption-tab source links point to these primary sources. Figures are as reported on access date; Reliance figures are consolidated FY2024-25. Government guidelines and PIB releases are treated as high-reliability primary regulatory sources. Where no source specifies a project-level number (e.g. per-charger capex, staffing), a clearly-flagged editable assumption is used and justified.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</si>
</sst>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&quot; yrs&quot;"/>
    <numFmt numFmtId="166" formatCode="0.00\x"/>
    <numFmt numFmtId="167" formatCode="0.0"/>
    <numFmt numFmtId="168" formatCode="#,##0;\(#,##0\);\-"/>
    <numFmt numFmtId="169" formatCode="#,##0.0"/>
    <numFmt numFmtId="170" formatCode="#,##0.0;\(#,##0.0\);\-"/>
  </numFmts>
  <fonts count="28" x14ac:knownFonts="1">
    <font>
      <sz val="11"/>
      <color theme="1"/>
      <name val="Calibri"/>
      <family val="2"/>
      <charset val="1"/>
    </font>
    <font>
      <b/>
      <sz val="20"/>
      <color rgb="FF1F3864"/>
      <name val="Calibri"/>
      <charset val="1"/>
    </font>
    <font>
      <b/>
      <sz val="22"/>
      <color rgb="FF2E5496"/>
      <name val="Calibri"/>
      <charset val="1"/>
    </font>
    <font>
      <i/>
      <sz val="11"/>
      <color rgb="FF595959"/>
      <name val="Calibri"/>
      <charset val="1"/>
    </font>
    <font>
      <b/>
      <sz val="12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i/>
      <sz val="9"/>
      <color rgb="FF595959"/>
      <name val="Calibri"/>
      <charset val="1"/>
    </font>
    <font>
      <i/>
      <sz val="8"/>
      <color rgb="FF808080"/>
      <name val="Calibri"/>
      <charset val="1"/>
    </font>
    <font>
      <b/>
      <sz val="18"/>
      <color rgb="FF1F3864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sz val="9"/>
      <color rgb="FF595959"/>
      <name val="Calibri"/>
      <charset val="1"/>
    </font>
    <font>
      <b/>
      <sz val="14"/>
      <color rgb="FF006100"/>
      <name val="Calibri"/>
      <charset val="1"/>
    </font>
    <font>
      <b/>
      <sz val="15"/>
      <color rgb="FF2E5496"/>
      <name val="Calibri"/>
      <charset val="1"/>
    </font>
    <font>
      <sz val="11"/>
      <color rgb="FF008000"/>
      <name val="Calibri"/>
      <charset val="1"/>
    </font>
    <font>
      <b/>
      <sz val="14"/>
      <color rgb="FF1F3864"/>
      <name val="Calibri"/>
      <charset val="1"/>
    </font>
    <font>
      <b/>
      <sz val="10"/>
      <color rgb="FF1F3864"/>
      <name val="Calibri"/>
      <charset val="1"/>
    </font>
    <font>
      <sz val="10"/>
      <color rgb="FF0000FF"/>
      <name val="Calibri"/>
      <charset val="1"/>
    </font>
    <font>
      <i/>
      <sz val="9"/>
      <color rgb="FF000000"/>
      <name val="Calibri"/>
      <charset val="1"/>
    </font>
    <font>
      <b/>
      <sz val="12"/>
      <color rgb="FF0000FF"/>
      <name val="Calibri"/>
      <charset val="1"/>
    </font>
    <font>
      <sz val="9"/>
      <color rgb="FF000000"/>
      <name val="Calibri"/>
      <charset val="1"/>
    </font>
    <font>
      <u/>
      <sz val="9"/>
      <color rgb="FF0563C1"/>
      <name val="Calibri"/>
      <charset val="1"/>
    </font>
    <font>
      <i/>
      <sz val="9"/>
      <color rgb="FF808080"/>
      <name val="Calibri"/>
      <charset val="1"/>
    </font>
    <font>
      <sz val="10"/>
      <color rgb="FF008000"/>
      <name val="Calibri"/>
      <charset val="1"/>
    </font>
    <font>
      <b/>
      <sz val="10"/>
      <color rgb="FF008000"/>
      <name val="Calibri"/>
      <charset val="1"/>
    </font>
    <font>
      <b/>
      <sz val="9"/>
      <color rgb="FF000000"/>
      <name val="Calibri"/>
      <charset val="1"/>
    </font>
    <font>
      <u/>
      <sz val="8"/>
      <color rgb="FF0563C1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6" fillId="0" borderId="0" xfId="0" applyFont="1"/>
    <xf numFmtId="0" fontId="8" fillId="0" borderId="0" xfId="0" applyFont="1" applyAlignment="1">
      <alignment vertical="top" wrapText="1"/>
    </xf>
    <xf numFmtId="0" fontId="13" fillId="3" borderId="2" xfId="0" applyFont="1" applyFill="1" applyBorder="1" applyAlignment="1">
      <alignment horizontal="center" vertical="center"/>
    </xf>
    <xf numFmtId="0" fontId="11" fillId="0" borderId="0" xfId="0" applyFont="1" applyAlignment="1">
      <alignment vertical="top" wrapText="1"/>
    </xf>
    <xf numFmtId="0" fontId="10" fillId="2" borderId="0" xfId="0" applyFont="1" applyFill="1"/>
    <xf numFmtId="0" fontId="3" fillId="0" borderId="0" xfId="0" applyFont="1"/>
    <xf numFmtId="0" fontId="9" fillId="0" borderId="0" xfId="0" applyFont="1"/>
    <xf numFmtId="0" fontId="8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4" fillId="2" borderId="0" xfId="0" applyFont="1" applyFill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10" fillId="2" borderId="0" xfId="0" applyFont="1" applyFill="1"/>
    <xf numFmtId="0" fontId="12" fillId="0" borderId="0" xfId="0" applyFont="1" applyAlignment="1">
      <alignment horizontal="center" wrapText="1"/>
    </xf>
    <xf numFmtId="3" fontId="14" fillId="4" borderId="2" xfId="0" applyNumberFormat="1" applyFont="1" applyFill="1" applyBorder="1" applyAlignment="1">
      <alignment horizontal="center" vertical="center"/>
    </xf>
    <xf numFmtId="164" fontId="14" fillId="4" borderId="2" xfId="0" applyNumberFormat="1" applyFont="1" applyFill="1" applyBorder="1" applyAlignment="1">
      <alignment horizontal="center" vertical="center"/>
    </xf>
    <xf numFmtId="165" fontId="14" fillId="4" borderId="2" xfId="0" applyNumberFormat="1" applyFont="1" applyFill="1" applyBorder="1" applyAlignment="1">
      <alignment horizontal="center" vertical="center"/>
    </xf>
    <xf numFmtId="166" fontId="14" fillId="4" borderId="2" xfId="0" applyNumberFormat="1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0" borderId="0" xfId="0" applyFont="1"/>
    <xf numFmtId="3" fontId="15" fillId="0" borderId="0" xfId="0" applyNumberFormat="1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167" fontId="15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8" fontId="1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4" fontId="18" fillId="0" borderId="1" xfId="0" applyNumberFormat="1" applyFont="1" applyBorder="1" applyAlignment="1">
      <alignment horizontal="right" vertical="center"/>
    </xf>
    <xf numFmtId="3" fontId="18" fillId="0" borderId="1" xfId="0" applyNumberFormat="1" applyFont="1" applyBorder="1" applyAlignment="1">
      <alignment horizontal="right" vertical="center"/>
    </xf>
    <xf numFmtId="164" fontId="18" fillId="0" borderId="1" xfId="0" applyNumberFormat="1" applyFont="1" applyBorder="1" applyAlignment="1">
      <alignment horizontal="right" vertical="center"/>
    </xf>
    <xf numFmtId="0" fontId="20" fillId="7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3" fontId="18" fillId="7" borderId="2" xfId="0" applyNumberFormat="1" applyFont="1" applyFill="1" applyBorder="1" applyAlignment="1">
      <alignment horizontal="right" vertical="center"/>
    </xf>
    <xf numFmtId="3" fontId="5" fillId="4" borderId="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164" fontId="18" fillId="7" borderId="2" xfId="0" applyNumberFormat="1" applyFont="1" applyFill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right" vertical="center"/>
    </xf>
    <xf numFmtId="4" fontId="18" fillId="7" borderId="2" xfId="0" applyNumberFormat="1" applyFont="1" applyFill="1" applyBorder="1" applyAlignment="1">
      <alignment horizontal="right" vertical="center"/>
    </xf>
    <xf numFmtId="4" fontId="5" fillId="4" borderId="2" xfId="0" applyNumberFormat="1" applyFont="1" applyFill="1" applyBorder="1" applyAlignment="1">
      <alignment horizontal="right" vertical="center"/>
    </xf>
    <xf numFmtId="169" fontId="18" fillId="7" borderId="2" xfId="0" applyNumberFormat="1" applyFont="1" applyFill="1" applyBorder="1" applyAlignment="1">
      <alignment horizontal="right" vertical="center"/>
    </xf>
    <xf numFmtId="169" fontId="5" fillId="4" borderId="2" xfId="0" applyNumberFormat="1" applyFont="1" applyFill="1" applyBorder="1" applyAlignment="1">
      <alignment horizontal="right" vertical="center"/>
    </xf>
    <xf numFmtId="10" fontId="18" fillId="7" borderId="2" xfId="0" applyNumberFormat="1" applyFont="1" applyFill="1" applyBorder="1" applyAlignment="1">
      <alignment horizontal="right" vertical="center"/>
    </xf>
    <xf numFmtId="10" fontId="5" fillId="4" borderId="2" xfId="0" applyNumberFormat="1" applyFont="1" applyFill="1" applyBorder="1" applyAlignment="1">
      <alignment horizontal="right" vertical="center"/>
    </xf>
    <xf numFmtId="0" fontId="23" fillId="0" borderId="0" xfId="0" applyFont="1"/>
    <xf numFmtId="3" fontId="6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169" fontId="5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9" fontId="6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3" fontId="24" fillId="0" borderId="0" xfId="0" applyNumberFormat="1" applyFont="1" applyAlignment="1">
      <alignment horizontal="right" vertical="center"/>
    </xf>
    <xf numFmtId="164" fontId="24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170" fontId="5" fillId="0" borderId="0" xfId="0" applyNumberFormat="1" applyFont="1" applyAlignment="1">
      <alignment horizontal="right" vertical="center"/>
    </xf>
    <xf numFmtId="169" fontId="24" fillId="0" borderId="0" xfId="0" applyNumberFormat="1" applyFont="1" applyAlignment="1">
      <alignment horizontal="right" vertical="center"/>
    </xf>
    <xf numFmtId="170" fontId="6" fillId="0" borderId="0" xfId="0" applyNumberFormat="1" applyFont="1" applyAlignment="1">
      <alignment horizontal="right" vertical="center"/>
    </xf>
    <xf numFmtId="170" fontId="24" fillId="0" borderId="0" xfId="0" applyNumberFormat="1" applyFont="1" applyAlignment="1">
      <alignment horizontal="right" vertical="center"/>
    </xf>
    <xf numFmtId="170" fontId="25" fillId="0" borderId="0" xfId="0" applyNumberFormat="1" applyFont="1" applyAlignment="1">
      <alignment horizontal="right" vertical="center"/>
    </xf>
    <xf numFmtId="0" fontId="5" fillId="0" borderId="0" xfId="0" applyFont="1"/>
    <xf numFmtId="10" fontId="25" fillId="4" borderId="2" xfId="0" applyNumberFormat="1" applyFont="1" applyFill="1" applyBorder="1" applyAlignment="1">
      <alignment horizontal="right" vertical="center"/>
    </xf>
    <xf numFmtId="170" fontId="5" fillId="4" borderId="2" xfId="0" applyNumberFormat="1" applyFont="1" applyFill="1" applyBorder="1" applyAlignment="1">
      <alignment horizontal="right" vertical="center"/>
    </xf>
    <xf numFmtId="0" fontId="23" fillId="0" borderId="0" xfId="0" applyFont="1" applyAlignment="1">
      <alignment horizontal="left" vertical="center" wrapText="1"/>
    </xf>
    <xf numFmtId="170" fontId="6" fillId="4" borderId="2" xfId="0" applyNumberFormat="1" applyFont="1" applyFill="1" applyBorder="1" applyAlignment="1">
      <alignment horizontal="right" vertical="center"/>
    </xf>
    <xf numFmtId="165" fontId="5" fillId="4" borderId="2" xfId="0" applyNumberFormat="1" applyFont="1" applyFill="1" applyBorder="1" applyAlignment="1">
      <alignment horizontal="right" vertical="center"/>
    </xf>
    <xf numFmtId="166" fontId="5" fillId="4" borderId="2" xfId="0" applyNumberFormat="1" applyFont="1" applyFill="1" applyBorder="1" applyAlignment="1">
      <alignment horizontal="right" vertical="center"/>
    </xf>
    <xf numFmtId="170" fontId="25" fillId="4" borderId="2" xfId="0" applyNumberFormat="1" applyFont="1" applyFill="1" applyBorder="1" applyAlignment="1">
      <alignment horizontal="right" vertical="center"/>
    </xf>
    <xf numFmtId="0" fontId="21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17" fillId="6" borderId="0" xfId="0" applyFont="1" applyFill="1"/>
    <xf numFmtId="0" fontId="17" fillId="0" borderId="0" xfId="0" applyFont="1"/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2F2F2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BFBFB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B3B3B3"/>
      <rgbColor rgb="FF1F3864"/>
      <rgbColor rgb="FF339966"/>
      <rgbColor rgb="FF0061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owermin.gov.in/sites/default/files/Guidelines_and_Standards_for_EVCI_dated_17_09_2024.pdf" TargetMode="External"/><Relationship Id="rId13" Type="http://schemas.openxmlformats.org/officeDocument/2006/relationships/hyperlink" Target="https://www.pib.gov.in/PressReleaseIframePage.aspx?PRID=2204118&amp;reg=3&amp;lang=2" TargetMode="External"/><Relationship Id="rId18" Type="http://schemas.openxmlformats.org/officeDocument/2006/relationships/hyperlink" Target="https://www.pib.gov.in/PressReleasePage.aspx?PRID=2200851&amp;reg=3&amp;lang=1" TargetMode="External"/><Relationship Id="rId26" Type="http://schemas.openxmlformats.org/officeDocument/2006/relationships/hyperlink" Target="https://www.ril.com/ar2024-25/financial-performance-and-review.html" TargetMode="External"/><Relationship Id="rId3" Type="http://schemas.openxmlformats.org/officeDocument/2006/relationships/hyperlink" Target="https://powermin.gov.in/sites/default/files/Guidelines_and_Standards_for_EVCI_dated_17_09_2024.pdf" TargetMode="External"/><Relationship Id="rId21" Type="http://schemas.openxmlformats.org/officeDocument/2006/relationships/hyperlink" Target="https://powermin.gov.in/sites/default/files/Guidelines_and_Standards_for_EVCI_dated_17_09_2024.pdf" TargetMode="External"/><Relationship Id="rId7" Type="http://schemas.openxmlformats.org/officeDocument/2006/relationships/hyperlink" Target="https://www.investindia.gov.in/sector/electric-mobility" TargetMode="External"/><Relationship Id="rId12" Type="http://schemas.openxmlformats.org/officeDocument/2006/relationships/hyperlink" Target="https://www.pib.gov.in/PressReleaseIframePage.aspx?PRID=2204118&amp;reg=3&amp;lang=2" TargetMode="External"/><Relationship Id="rId17" Type="http://schemas.openxmlformats.org/officeDocument/2006/relationships/hyperlink" Target="https://www.pib.gov.in/PressReleaseIframePage.aspx?PRID=2204118&amp;reg=3&amp;lang=2" TargetMode="External"/><Relationship Id="rId25" Type="http://schemas.openxmlformats.org/officeDocument/2006/relationships/hyperlink" Target="https://www.ril.com/ar2024-25/financial-performance-and-review.html" TargetMode="External"/><Relationship Id="rId2" Type="http://schemas.openxmlformats.org/officeDocument/2006/relationships/hyperlink" Target="https://powermin.gov.in/sites/default/files/Guidelines_and_Standards_for_EVCI_dated_17_09_2024.pdf" TargetMode="External"/><Relationship Id="rId16" Type="http://schemas.openxmlformats.org/officeDocument/2006/relationships/hyperlink" Target="https://powermin.gov.in/sites/default/files/Guidelines_and_Standards_for_EVCI_dated_17_09_2024.pdf" TargetMode="External"/><Relationship Id="rId20" Type="http://schemas.openxmlformats.org/officeDocument/2006/relationships/hyperlink" Target="https://www.pib.gov.in/PressReleasePage.aspx?PRID=2200851&amp;reg=3&amp;lang=1" TargetMode="External"/><Relationship Id="rId29" Type="http://schemas.openxmlformats.org/officeDocument/2006/relationships/hyperlink" Target="https://www.pib.gov.in/PressReleaseIframePage.aspx?PRID=2204118&amp;reg=3&amp;lang=2" TargetMode="External"/><Relationship Id="rId1" Type="http://schemas.openxmlformats.org/officeDocument/2006/relationships/hyperlink" Target="https://www.ril.com/sites/default/files/2025-04/25042025_Media_Release_RIL_Q4_FY2024_25_Financial_and_Operational_Performance.pdf" TargetMode="External"/><Relationship Id="rId6" Type="http://schemas.openxmlformats.org/officeDocument/2006/relationships/hyperlink" Target="https://www.investindia.gov.in/sector/electric-mobility" TargetMode="External"/><Relationship Id="rId11" Type="http://schemas.openxmlformats.org/officeDocument/2006/relationships/hyperlink" Target="https://powermin.gov.in/sites/default/files/Guidelines_and_Standards_for_EVCI_dated_17_09_2024.pdf" TargetMode="External"/><Relationship Id="rId24" Type="http://schemas.openxmlformats.org/officeDocument/2006/relationships/hyperlink" Target="https://www.ril.com/ar2024-25/financial-performance-and-review.html" TargetMode="External"/><Relationship Id="rId5" Type="http://schemas.openxmlformats.org/officeDocument/2006/relationships/hyperlink" Target="https://www.pib.gov.in/PressReleaseIframePage.aspx?PRID=2204118&amp;reg=3&amp;lang=2" TargetMode="External"/><Relationship Id="rId15" Type="http://schemas.openxmlformats.org/officeDocument/2006/relationships/hyperlink" Target="https://www.pib.gov.in/PressReleasePage.aspx?PRID=2200851&amp;reg=3&amp;lang=1" TargetMode="External"/><Relationship Id="rId23" Type="http://schemas.openxmlformats.org/officeDocument/2006/relationships/hyperlink" Target="https://www.jiobp.com/news/ev-charging-news-new" TargetMode="External"/><Relationship Id="rId28" Type="http://schemas.openxmlformats.org/officeDocument/2006/relationships/hyperlink" Target="https://www.ril.com/ar2024-25/financial-performance-and-review.html" TargetMode="External"/><Relationship Id="rId10" Type="http://schemas.openxmlformats.org/officeDocument/2006/relationships/hyperlink" Target="https://powermin.gov.in/sites/default/files/Guidelines_and_Standards_for_EVCI_dated_17_09_2024.pdf" TargetMode="External"/><Relationship Id="rId19" Type="http://schemas.openxmlformats.org/officeDocument/2006/relationships/hyperlink" Target="https://www.pib.gov.in/PressReleasePage.aspx?PRID=2200851&amp;reg=3&amp;lang=1" TargetMode="External"/><Relationship Id="rId4" Type="http://schemas.openxmlformats.org/officeDocument/2006/relationships/hyperlink" Target="https://www.pib.gov.in/PressReleasePage.aspx?PRID=1928750" TargetMode="External"/><Relationship Id="rId9" Type="http://schemas.openxmlformats.org/officeDocument/2006/relationships/hyperlink" Target="https://powermin.gov.in/sites/default/files/Guidelines_and_Standards_for_EVCI_dated_17_09_2024.pdf" TargetMode="External"/><Relationship Id="rId14" Type="http://schemas.openxmlformats.org/officeDocument/2006/relationships/hyperlink" Target="https://powermin.gov.in/sites/default/files/Guidelines_and_Standards_for_EVCI_dated_17_09_2024.pdf" TargetMode="External"/><Relationship Id="rId22" Type="http://schemas.openxmlformats.org/officeDocument/2006/relationships/hyperlink" Target="https://www.ril.com/sites/default/files/2025-04/25042025_Media_Release_RIL_Q4_FY2024_25_Financial_and_Operational_Performance.pdf" TargetMode="External"/><Relationship Id="rId27" Type="http://schemas.openxmlformats.org/officeDocument/2006/relationships/hyperlink" Target="https://www.ril.com/ar2024-25/financial-performance-and-review.html" TargetMode="External"/><Relationship Id="rId30" Type="http://schemas.openxmlformats.org/officeDocument/2006/relationships/hyperlink" Target="https://www.ril.com/ar2024-25/financial-performance-and-review.html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ib.gov.in/PressReleaseIframePage.aspx?PRID=2204118&amp;reg=3&amp;lang=2" TargetMode="External"/><Relationship Id="rId3" Type="http://schemas.openxmlformats.org/officeDocument/2006/relationships/hyperlink" Target="https://www.jiobp.com/news/ev-charging-news-new" TargetMode="External"/><Relationship Id="rId7" Type="http://schemas.openxmlformats.org/officeDocument/2006/relationships/hyperlink" Target="https://niti.gov.in/divisions/division/e-mobility" TargetMode="External"/><Relationship Id="rId2" Type="http://schemas.openxmlformats.org/officeDocument/2006/relationships/hyperlink" Target="https://www.ril.com/sites/default/files/2025-04/25042025_Media_Release_RIL_Q4_FY2024_25_Financial_and_Operational_Performance.pdf" TargetMode="External"/><Relationship Id="rId1" Type="http://schemas.openxmlformats.org/officeDocument/2006/relationships/hyperlink" Target="https://www.ril.com/ar2024-25/financial-performance-and-review.html" TargetMode="External"/><Relationship Id="rId6" Type="http://schemas.openxmlformats.org/officeDocument/2006/relationships/hyperlink" Target="https://www.investindia.gov.in/sector/electric-mobility" TargetMode="External"/><Relationship Id="rId5" Type="http://schemas.openxmlformats.org/officeDocument/2006/relationships/hyperlink" Target="https://powermin.gov.in/sites/default/files/Guidelines_and_Standards_for_EVCI_dated_17_09_2024.pdf" TargetMode="External"/><Relationship Id="rId10" Type="http://schemas.openxmlformats.org/officeDocument/2006/relationships/hyperlink" Target="https://www.pib.gov.in/PressReleasePage.aspx?PRID=2200851&amp;reg=3&amp;lang=1" TargetMode="External"/><Relationship Id="rId4" Type="http://schemas.openxmlformats.org/officeDocument/2006/relationships/hyperlink" Target="https://www.pib.gov.in/PressReleasePage.aspx?PRID=2204635&amp;reg=3&amp;lang=2" TargetMode="External"/><Relationship Id="rId9" Type="http://schemas.openxmlformats.org/officeDocument/2006/relationships/hyperlink" Target="https://www.pib.gov.in/PressReleasePage.aspx?PRID=19287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3"/>
  <sheetViews>
    <sheetView showGridLines="0" topLeftCell="A5" zoomScaleNormal="100" workbookViewId="0">
      <selection activeCell="D23" sqref="D23"/>
    </sheetView>
  </sheetViews>
  <sheetFormatPr baseColWidth="10" defaultColWidth="8.6640625" defaultRowHeight="15" x14ac:dyDescent="0.2"/>
  <cols>
    <col min="1" max="1" width="3" customWidth="1"/>
    <col min="2" max="2" width="26" customWidth="1"/>
    <col min="3" max="3" width="40" customWidth="1"/>
    <col min="4" max="4" width="24" customWidth="1"/>
    <col min="5" max="5" width="18" customWidth="1"/>
  </cols>
  <sheetData>
    <row r="1" spans="2:5" ht="18" customHeight="1" x14ac:dyDescent="0.2"/>
    <row r="2" spans="2:5" ht="18" customHeight="1" x14ac:dyDescent="0.2"/>
    <row r="3" spans="2:5" ht="18" customHeight="1" x14ac:dyDescent="0.2">
      <c r="B3" s="12" t="s">
        <v>0</v>
      </c>
      <c r="C3" s="12"/>
      <c r="D3" s="12"/>
      <c r="E3" s="12"/>
    </row>
    <row r="4" spans="2:5" ht="18" customHeight="1" x14ac:dyDescent="0.2"/>
    <row r="5" spans="2:5" ht="30" customHeight="1" x14ac:dyDescent="0.2">
      <c r="B5" s="11" t="s">
        <v>1</v>
      </c>
      <c r="C5" s="11"/>
      <c r="D5" s="11"/>
      <c r="E5" s="11"/>
    </row>
    <row r="6" spans="2:5" ht="30" customHeight="1" x14ac:dyDescent="0.2">
      <c r="B6" s="11"/>
      <c r="C6" s="11"/>
      <c r="D6" s="11"/>
      <c r="E6" s="11"/>
    </row>
    <row r="7" spans="2:5" ht="24" customHeight="1" x14ac:dyDescent="0.2">
      <c r="B7" s="11"/>
      <c r="C7" s="11"/>
      <c r="D7" s="11"/>
      <c r="E7" s="11"/>
    </row>
    <row r="8" spans="2:5" ht="18" customHeight="1" x14ac:dyDescent="0.2"/>
    <row r="9" spans="2:5" ht="18" customHeight="1" x14ac:dyDescent="0.2"/>
    <row r="10" spans="2:5" ht="18" customHeight="1" x14ac:dyDescent="0.2"/>
    <row r="11" spans="2:5" ht="18" customHeight="1" x14ac:dyDescent="0.2">
      <c r="B11" s="10" t="s">
        <v>2</v>
      </c>
      <c r="C11" s="10"/>
      <c r="D11" s="10"/>
      <c r="E11" s="10"/>
    </row>
    <row r="12" spans="2:5" ht="30" customHeight="1" x14ac:dyDescent="0.2">
      <c r="B12" s="13" t="s">
        <v>3</v>
      </c>
      <c r="C12" s="9" t="s">
        <v>4</v>
      </c>
      <c r="D12" s="9"/>
      <c r="E12" s="9"/>
    </row>
    <row r="13" spans="2:5" ht="30" customHeight="1" x14ac:dyDescent="0.2">
      <c r="B13" s="13" t="s">
        <v>5</v>
      </c>
      <c r="C13" s="9" t="s">
        <v>6</v>
      </c>
      <c r="D13" s="9"/>
      <c r="E13" s="9"/>
    </row>
    <row r="14" spans="2:5" ht="30" customHeight="1" x14ac:dyDescent="0.2">
      <c r="B14" s="13" t="s">
        <v>7</v>
      </c>
      <c r="C14" s="9" t="s">
        <v>8</v>
      </c>
      <c r="D14" s="9"/>
      <c r="E14" s="9"/>
    </row>
    <row r="15" spans="2:5" ht="30" customHeight="1" x14ac:dyDescent="0.2">
      <c r="B15" s="13" t="s">
        <v>9</v>
      </c>
      <c r="C15" s="9" t="s">
        <v>10</v>
      </c>
      <c r="D15" s="9"/>
      <c r="E15" s="9"/>
    </row>
    <row r="16" spans="2:5" ht="30" customHeight="1" x14ac:dyDescent="0.2">
      <c r="B16" s="13" t="s">
        <v>11</v>
      </c>
      <c r="C16" s="9" t="s">
        <v>12</v>
      </c>
      <c r="D16" s="9"/>
      <c r="E16" s="9"/>
    </row>
    <row r="17" spans="2:5" ht="30" customHeight="1" x14ac:dyDescent="0.2">
      <c r="B17" s="13" t="s">
        <v>13</v>
      </c>
      <c r="C17" s="9" t="s">
        <v>14</v>
      </c>
      <c r="D17" s="9"/>
      <c r="E17" s="9"/>
    </row>
    <row r="18" spans="2:5" ht="18" customHeight="1" x14ac:dyDescent="0.2"/>
    <row r="19" spans="2:5" ht="18" customHeight="1" x14ac:dyDescent="0.2"/>
    <row r="20" spans="2:5" ht="18" customHeight="1" x14ac:dyDescent="0.2"/>
    <row r="21" spans="2:5" ht="18" customHeight="1" x14ac:dyDescent="0.2"/>
    <row r="22" spans="2:5" ht="18" customHeight="1" x14ac:dyDescent="0.2"/>
    <row r="23" spans="2:5" ht="18" customHeight="1" x14ac:dyDescent="0.2"/>
    <row r="24" spans="2:5" ht="18" customHeight="1" x14ac:dyDescent="0.2"/>
    <row r="25" spans="2:5" ht="18" customHeight="1" x14ac:dyDescent="0.2"/>
    <row r="26" spans="2:5" ht="18" customHeight="1" x14ac:dyDescent="0.2"/>
    <row r="27" spans="2:5" ht="18" customHeight="1" x14ac:dyDescent="0.2"/>
    <row r="28" spans="2:5" ht="18" customHeight="1" x14ac:dyDescent="0.2"/>
    <row r="29" spans="2:5" ht="18" customHeight="1" x14ac:dyDescent="0.2"/>
    <row r="30" spans="2:5" ht="18" customHeight="1" x14ac:dyDescent="0.2"/>
    <row r="31" spans="2:5" ht="18" customHeight="1" x14ac:dyDescent="0.2"/>
    <row r="32" spans="2:5" ht="18" customHeight="1" x14ac:dyDescent="0.2"/>
    <row r="33" ht="18" customHeight="1" x14ac:dyDescent="0.2"/>
  </sheetData>
  <mergeCells count="9">
    <mergeCell ref="C17:E17"/>
    <mergeCell ref="C13:E13"/>
    <mergeCell ref="C14:E14"/>
    <mergeCell ref="C15:E15"/>
    <mergeCell ref="C16:E16"/>
    <mergeCell ref="B3:E3"/>
    <mergeCell ref="B5:E7"/>
    <mergeCell ref="B11:E11"/>
    <mergeCell ref="C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33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4" customWidth="1"/>
    <col min="3" max="5" width="20" customWidth="1"/>
    <col min="6" max="6" width="4" customWidth="1"/>
    <col min="7" max="7" width="42" customWidth="1"/>
  </cols>
  <sheetData>
    <row r="2" spans="2:7" ht="21.75" customHeight="1" x14ac:dyDescent="0.3">
      <c r="B2" s="7" t="s">
        <v>15</v>
      </c>
      <c r="C2" s="7"/>
      <c r="D2" s="7"/>
      <c r="E2" s="7"/>
      <c r="F2" s="7"/>
      <c r="G2" s="7"/>
    </row>
    <row r="3" spans="2:7" ht="15" customHeight="1" x14ac:dyDescent="0.2">
      <c r="B3" s="6" t="s">
        <v>16</v>
      </c>
      <c r="C3" s="6"/>
      <c r="D3" s="6"/>
      <c r="E3" s="6"/>
      <c r="F3" s="6"/>
      <c r="G3" s="6"/>
    </row>
    <row r="5" spans="2:7" ht="15" customHeight="1" x14ac:dyDescent="0.2">
      <c r="B5" s="5" t="s">
        <v>17</v>
      </c>
      <c r="C5" s="5"/>
      <c r="D5" s="5"/>
      <c r="E5" s="5"/>
      <c r="F5" s="5"/>
      <c r="G5" s="5"/>
    </row>
    <row r="6" spans="2:7" ht="15" customHeight="1" x14ac:dyDescent="0.2">
      <c r="B6" s="4" t="s">
        <v>18</v>
      </c>
      <c r="C6" s="4"/>
      <c r="D6" s="4"/>
      <c r="E6" s="4"/>
      <c r="F6" s="4"/>
      <c r="G6" s="4"/>
    </row>
    <row r="7" spans="2:7" ht="15" customHeight="1" x14ac:dyDescent="0.2">
      <c r="B7" s="4"/>
      <c r="C7" s="4"/>
      <c r="D7" s="4"/>
      <c r="E7" s="4"/>
      <c r="F7" s="4"/>
      <c r="G7" s="4"/>
    </row>
    <row r="8" spans="2:7" ht="15" customHeight="1" x14ac:dyDescent="0.2">
      <c r="B8" s="4"/>
      <c r="C8" s="4"/>
      <c r="D8" s="4"/>
      <c r="E8" s="4"/>
      <c r="F8" s="4"/>
      <c r="G8" s="4"/>
    </row>
    <row r="10" spans="2:7" ht="15" customHeight="1" x14ac:dyDescent="0.2">
      <c r="B10" s="5" t="s">
        <v>19</v>
      </c>
      <c r="C10" s="5"/>
      <c r="D10" s="5"/>
      <c r="E10" s="5"/>
      <c r="G10" s="14" t="s">
        <v>20</v>
      </c>
    </row>
    <row r="11" spans="2:7" ht="15" customHeight="1" x14ac:dyDescent="0.2">
      <c r="B11" s="15" t="s">
        <v>21</v>
      </c>
      <c r="C11" s="15" t="s">
        <v>22</v>
      </c>
      <c r="D11" s="15" t="s">
        <v>23</v>
      </c>
      <c r="G11" s="3" t="str">
        <f>Assumptions!H4</f>
        <v>BASE</v>
      </c>
    </row>
    <row r="12" spans="2:7" ht="18" customHeight="1" x14ac:dyDescent="0.2">
      <c r="B12" s="16">
        <f>Valuation!D14</f>
        <v>139.23148795075087</v>
      </c>
      <c r="C12" s="17">
        <f>Valuation!D16</f>
        <v>0.23857048965777317</v>
      </c>
      <c r="D12" s="18">
        <f>Valuation!D18</f>
        <v>5</v>
      </c>
      <c r="G12" s="3"/>
    </row>
    <row r="14" spans="2:7" ht="15" customHeight="1" x14ac:dyDescent="0.2">
      <c r="B14" s="15" t="s">
        <v>24</v>
      </c>
      <c r="C14" s="15" t="s">
        <v>25</v>
      </c>
      <c r="D14" s="15" t="s">
        <v>26</v>
      </c>
    </row>
    <row r="15" spans="2:7" ht="18" customHeight="1" x14ac:dyDescent="0.2">
      <c r="B15" s="16">
        <f>Valuation!D13</f>
        <v>-521.30676966131318</v>
      </c>
      <c r="C15" s="19">
        <f>Valuation!D19</f>
        <v>1.2670816802191307</v>
      </c>
      <c r="D15" s="17">
        <f>'Opex &amp; EBITDA'!H24</f>
        <v>0.52300136043218559</v>
      </c>
    </row>
    <row r="17" spans="2:7" ht="15" customHeight="1" x14ac:dyDescent="0.2">
      <c r="B17" s="5" t="s">
        <v>27</v>
      </c>
      <c r="C17" s="5"/>
      <c r="D17" s="5"/>
      <c r="E17" s="5"/>
      <c r="F17" s="5"/>
      <c r="G17" s="5"/>
    </row>
    <row r="18" spans="2:7" ht="15" customHeight="1" x14ac:dyDescent="0.2">
      <c r="B18" s="20" t="s">
        <v>28</v>
      </c>
      <c r="C18" s="20" t="s">
        <v>29</v>
      </c>
      <c r="D18" s="20" t="s">
        <v>30</v>
      </c>
      <c r="E18" s="20" t="s">
        <v>31</v>
      </c>
    </row>
    <row r="19" spans="2:7" ht="15" customHeight="1" x14ac:dyDescent="0.2">
      <c r="B19" s="21" t="s">
        <v>32</v>
      </c>
      <c r="C19" s="22">
        <f>Assumptions!D8</f>
        <v>200</v>
      </c>
      <c r="D19" s="22">
        <f>Assumptions!E8</f>
        <v>350</v>
      </c>
      <c r="E19" s="22">
        <f>Assumptions!F8</f>
        <v>500</v>
      </c>
    </row>
    <row r="20" spans="2:7" ht="15" customHeight="1" x14ac:dyDescent="0.2">
      <c r="B20" s="21" t="s">
        <v>33</v>
      </c>
      <c r="C20" s="23">
        <f>Assumptions!D16</f>
        <v>0</v>
      </c>
      <c r="D20" s="23">
        <f>Assumptions!E16</f>
        <v>0</v>
      </c>
      <c r="E20" s="23">
        <f>Assumptions!F16</f>
        <v>0</v>
      </c>
    </row>
    <row r="21" spans="2:7" ht="15" customHeight="1" x14ac:dyDescent="0.2">
      <c r="B21" s="21" t="s">
        <v>34</v>
      </c>
      <c r="C21" s="24">
        <f>Assumptions!D24</f>
        <v>32</v>
      </c>
      <c r="D21" s="24">
        <f>Assumptions!E24</f>
        <v>30</v>
      </c>
      <c r="E21" s="24">
        <f>Assumptions!F24</f>
        <v>27</v>
      </c>
    </row>
    <row r="22" spans="2:7" ht="15" customHeight="1" x14ac:dyDescent="0.2">
      <c r="B22" s="21" t="s">
        <v>35</v>
      </c>
      <c r="C22" s="25">
        <f>Assumptions!D27</f>
        <v>1.4</v>
      </c>
      <c r="D22" s="25">
        <f>Assumptions!E27</f>
        <v>1.2</v>
      </c>
      <c r="E22" s="25">
        <f>Assumptions!F27</f>
        <v>1</v>
      </c>
    </row>
    <row r="23" spans="2:7" ht="15" customHeight="1" x14ac:dyDescent="0.2">
      <c r="B23" s="21" t="s">
        <v>36</v>
      </c>
      <c r="C23" s="23">
        <f>Assumptions!D31</f>
        <v>0.8</v>
      </c>
      <c r="D23" s="23">
        <f>Assumptions!E31</f>
        <v>0.8</v>
      </c>
      <c r="E23" s="23">
        <f>Assumptions!F31</f>
        <v>0.8</v>
      </c>
    </row>
    <row r="24" spans="2:7" ht="15" customHeight="1" x14ac:dyDescent="0.2">
      <c r="B24" s="21" t="s">
        <v>37</v>
      </c>
      <c r="C24" s="26">
        <f>Assumptions!D43</f>
        <v>0.13</v>
      </c>
      <c r="D24" s="26">
        <f>Assumptions!E43</f>
        <v>0.1125</v>
      </c>
      <c r="E24" s="26">
        <f>Assumptions!F43</f>
        <v>0.1</v>
      </c>
    </row>
    <row r="26" spans="2:7" ht="15" customHeight="1" x14ac:dyDescent="0.2">
      <c r="B26" s="5" t="s">
        <v>38</v>
      </c>
      <c r="C26" s="5"/>
      <c r="D26" s="5"/>
      <c r="E26" s="5"/>
      <c r="F26" s="5"/>
      <c r="G26" s="5"/>
    </row>
    <row r="27" spans="2:7" ht="15" customHeight="1" x14ac:dyDescent="0.2">
      <c r="B27" s="4" t="s">
        <v>39</v>
      </c>
      <c r="C27" s="4"/>
      <c r="D27" s="4"/>
      <c r="E27" s="4"/>
      <c r="F27" s="4"/>
      <c r="G27" s="4"/>
    </row>
    <row r="28" spans="2:7" ht="15" customHeight="1" x14ac:dyDescent="0.2">
      <c r="B28" s="4"/>
      <c r="C28" s="4"/>
      <c r="D28" s="4"/>
      <c r="E28" s="4"/>
      <c r="F28" s="4"/>
      <c r="G28" s="4"/>
    </row>
    <row r="29" spans="2:7" ht="15" customHeight="1" x14ac:dyDescent="0.2">
      <c r="B29" s="4"/>
      <c r="C29" s="4"/>
      <c r="D29" s="4"/>
      <c r="E29" s="4"/>
      <c r="F29" s="4"/>
      <c r="G29" s="4"/>
    </row>
    <row r="30" spans="2:7" ht="15" customHeight="1" x14ac:dyDescent="0.2">
      <c r="B30" s="4"/>
      <c r="C30" s="4"/>
      <c r="D30" s="4"/>
      <c r="E30" s="4"/>
      <c r="F30" s="4"/>
      <c r="G30" s="4"/>
    </row>
    <row r="32" spans="2:7" ht="15" customHeight="1" x14ac:dyDescent="0.2">
      <c r="B32" s="2" t="s">
        <v>40</v>
      </c>
      <c r="C32" s="2"/>
      <c r="D32" s="2"/>
      <c r="E32" s="2"/>
      <c r="F32" s="2"/>
      <c r="G32" s="2"/>
    </row>
    <row r="33" spans="2:7" ht="15" customHeight="1" x14ac:dyDescent="0.2">
      <c r="B33" s="2"/>
      <c r="C33" s="2"/>
      <c r="D33" s="2"/>
      <c r="E33" s="2"/>
      <c r="F33" s="2"/>
      <c r="G33" s="2"/>
    </row>
  </sheetData>
  <mergeCells count="10">
    <mergeCell ref="G11:G12"/>
    <mergeCell ref="B17:G17"/>
    <mergeCell ref="B26:G26"/>
    <mergeCell ref="B27:G30"/>
    <mergeCell ref="B32:G33"/>
    <mergeCell ref="B2:G2"/>
    <mergeCell ref="B3:G3"/>
    <mergeCell ref="B5:G5"/>
    <mergeCell ref="B6:G8"/>
    <mergeCell ref="B10:E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53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3" customWidth="1"/>
    <col min="2" max="2" width="42" customWidth="1"/>
    <col min="3" max="3" width="20" customWidth="1"/>
    <col min="4" max="4" width="16" customWidth="1"/>
    <col min="5" max="5" width="46" customWidth="1"/>
  </cols>
  <sheetData>
    <row r="2" spans="2:5" ht="17.25" customHeight="1" x14ac:dyDescent="0.25">
      <c r="B2" s="1" t="s">
        <v>41</v>
      </c>
      <c r="C2" s="1"/>
      <c r="D2" s="1"/>
      <c r="E2" s="1"/>
    </row>
    <row r="4" spans="2:5" ht="15" customHeight="1" x14ac:dyDescent="0.2">
      <c r="B4" s="27" t="s">
        <v>42</v>
      </c>
      <c r="C4" s="27" t="s">
        <v>43</v>
      </c>
      <c r="D4" s="27" t="s">
        <v>44</v>
      </c>
      <c r="E4" s="27" t="s">
        <v>45</v>
      </c>
    </row>
    <row r="5" spans="2:5" ht="15" customHeight="1" x14ac:dyDescent="0.2">
      <c r="B5" s="78" t="s">
        <v>46</v>
      </c>
      <c r="C5" s="78"/>
      <c r="D5" s="78"/>
      <c r="E5" s="78"/>
    </row>
    <row r="6" spans="2:5" ht="15" customHeight="1" x14ac:dyDescent="0.2">
      <c r="B6" s="28" t="s">
        <v>47</v>
      </c>
      <c r="C6" s="29">
        <v>1071174</v>
      </c>
      <c r="D6" s="30" t="s">
        <v>48</v>
      </c>
      <c r="E6" s="31" t="s">
        <v>49</v>
      </c>
    </row>
    <row r="7" spans="2:5" ht="15" customHeight="1" x14ac:dyDescent="0.2">
      <c r="B7" s="28" t="s">
        <v>50</v>
      </c>
      <c r="C7" s="29">
        <v>183422</v>
      </c>
      <c r="D7" s="30" t="s">
        <v>48</v>
      </c>
      <c r="E7" s="31" t="s">
        <v>49</v>
      </c>
    </row>
    <row r="8" spans="2:5" ht="15" customHeight="1" x14ac:dyDescent="0.2">
      <c r="B8" s="28" t="s">
        <v>51</v>
      </c>
      <c r="C8" s="29">
        <v>81309</v>
      </c>
      <c r="D8" s="30" t="s">
        <v>48</v>
      </c>
      <c r="E8" s="31" t="s">
        <v>49</v>
      </c>
    </row>
    <row r="9" spans="2:5" ht="15" customHeight="1" x14ac:dyDescent="0.2">
      <c r="B9" s="28" t="s">
        <v>52</v>
      </c>
      <c r="C9" s="29">
        <v>146917</v>
      </c>
      <c r="D9" s="30" t="s">
        <v>48</v>
      </c>
      <c r="E9" s="31" t="s">
        <v>53</v>
      </c>
    </row>
    <row r="10" spans="2:5" ht="15" customHeight="1" x14ac:dyDescent="0.2">
      <c r="B10" s="28" t="s">
        <v>54</v>
      </c>
      <c r="C10" s="29">
        <v>347530</v>
      </c>
      <c r="D10" s="30" t="s">
        <v>48</v>
      </c>
      <c r="E10" s="31" t="s">
        <v>53</v>
      </c>
    </row>
    <row r="11" spans="2:5" ht="15" customHeight="1" x14ac:dyDescent="0.2">
      <c r="B11" s="28" t="s">
        <v>55</v>
      </c>
      <c r="C11" s="29">
        <v>117083</v>
      </c>
      <c r="D11" s="30" t="s">
        <v>48</v>
      </c>
      <c r="E11" s="31" t="s">
        <v>53</v>
      </c>
    </row>
    <row r="12" spans="2:5" ht="15" customHeight="1" x14ac:dyDescent="0.2">
      <c r="B12" s="28" t="s">
        <v>56</v>
      </c>
      <c r="C12" s="29">
        <v>131107</v>
      </c>
      <c r="D12" s="30" t="s">
        <v>48</v>
      </c>
      <c r="E12" s="31" t="s">
        <v>49</v>
      </c>
    </row>
    <row r="13" spans="2:5" ht="15" customHeight="1" x14ac:dyDescent="0.2">
      <c r="B13" s="28" t="s">
        <v>57</v>
      </c>
      <c r="C13" s="32">
        <v>1</v>
      </c>
      <c r="D13" s="30" t="s">
        <v>58</v>
      </c>
      <c r="E13" s="31" t="s">
        <v>59</v>
      </c>
    </row>
    <row r="14" spans="2:5" ht="15" customHeight="1" x14ac:dyDescent="0.2">
      <c r="B14" s="78" t="s">
        <v>60</v>
      </c>
      <c r="C14" s="78"/>
      <c r="D14" s="78"/>
      <c r="E14" s="78"/>
    </row>
    <row r="15" spans="2:5" ht="15" customHeight="1" x14ac:dyDescent="0.2">
      <c r="B15" s="28" t="s">
        <v>61</v>
      </c>
      <c r="C15" s="33">
        <v>1916</v>
      </c>
      <c r="D15" s="30" t="s">
        <v>62</v>
      </c>
      <c r="E15" s="31" t="s">
        <v>63</v>
      </c>
    </row>
    <row r="16" spans="2:5" ht="15" customHeight="1" x14ac:dyDescent="0.2">
      <c r="B16" s="28" t="s">
        <v>64</v>
      </c>
      <c r="C16" s="33">
        <v>5750</v>
      </c>
      <c r="D16" s="30" t="s">
        <v>65</v>
      </c>
      <c r="E16" s="31" t="s">
        <v>63</v>
      </c>
    </row>
    <row r="17" spans="2:5" ht="15" customHeight="1" x14ac:dyDescent="0.2">
      <c r="B17" s="28" t="s">
        <v>66</v>
      </c>
      <c r="C17" s="33">
        <v>701</v>
      </c>
      <c r="D17" s="30" t="s">
        <v>67</v>
      </c>
      <c r="E17" s="31" t="s">
        <v>63</v>
      </c>
    </row>
    <row r="18" spans="2:5" ht="15" customHeight="1" x14ac:dyDescent="0.2">
      <c r="B18" s="28" t="s">
        <v>68</v>
      </c>
      <c r="C18" s="33">
        <v>5000</v>
      </c>
      <c r="D18" s="30" t="s">
        <v>65</v>
      </c>
      <c r="E18" s="31" t="s">
        <v>69</v>
      </c>
    </row>
    <row r="19" spans="2:5" ht="15" customHeight="1" x14ac:dyDescent="0.2">
      <c r="B19" s="28" t="s">
        <v>70</v>
      </c>
      <c r="C19" s="33">
        <v>500</v>
      </c>
      <c r="D19" s="30" t="s">
        <v>71</v>
      </c>
      <c r="E19" s="31" t="s">
        <v>69</v>
      </c>
    </row>
    <row r="20" spans="2:5" ht="15" customHeight="1" x14ac:dyDescent="0.2">
      <c r="B20" s="28" t="s">
        <v>72</v>
      </c>
      <c r="C20" s="34">
        <v>0.95</v>
      </c>
      <c r="D20" s="30" t="s">
        <v>73</v>
      </c>
      <c r="E20" s="31" t="s">
        <v>69</v>
      </c>
    </row>
    <row r="21" spans="2:5" ht="15" customHeight="1" x14ac:dyDescent="0.2">
      <c r="B21" s="28" t="s">
        <v>74</v>
      </c>
      <c r="C21" s="34">
        <v>0.96</v>
      </c>
      <c r="D21" s="30" t="s">
        <v>73</v>
      </c>
      <c r="E21" s="31" t="s">
        <v>69</v>
      </c>
    </row>
    <row r="22" spans="2:5" ht="15" customHeight="1" x14ac:dyDescent="0.2">
      <c r="B22" s="28" t="s">
        <v>75</v>
      </c>
      <c r="C22" s="33">
        <v>480</v>
      </c>
      <c r="D22" s="30" t="s">
        <v>76</v>
      </c>
      <c r="E22" s="31" t="s">
        <v>69</v>
      </c>
    </row>
    <row r="23" spans="2:5" ht="15" customHeight="1" x14ac:dyDescent="0.2">
      <c r="B23" s="78" t="s">
        <v>77</v>
      </c>
      <c r="C23" s="78"/>
      <c r="D23" s="78"/>
      <c r="E23" s="78"/>
    </row>
    <row r="24" spans="2:5" ht="15" customHeight="1" x14ac:dyDescent="0.2">
      <c r="B24" s="28" t="s">
        <v>78</v>
      </c>
      <c r="C24" s="33">
        <v>29151</v>
      </c>
      <c r="D24" s="30" t="s">
        <v>71</v>
      </c>
      <c r="E24" s="31" t="s">
        <v>79</v>
      </c>
    </row>
    <row r="25" spans="2:5" ht="15" customHeight="1" x14ac:dyDescent="0.2">
      <c r="B25" s="28" t="s">
        <v>80</v>
      </c>
      <c r="C25" s="33">
        <v>8805</v>
      </c>
      <c r="D25" s="30" t="s">
        <v>71</v>
      </c>
      <c r="E25" s="31" t="s">
        <v>79</v>
      </c>
    </row>
    <row r="26" spans="2:5" ht="15" customHeight="1" x14ac:dyDescent="0.2">
      <c r="B26" s="28" t="s">
        <v>81</v>
      </c>
      <c r="C26" s="33">
        <v>20346</v>
      </c>
      <c r="D26" s="30" t="s">
        <v>71</v>
      </c>
      <c r="E26" s="31" t="s">
        <v>79</v>
      </c>
    </row>
    <row r="27" spans="2:5" ht="15" customHeight="1" x14ac:dyDescent="0.2">
      <c r="B27" s="28" t="s">
        <v>82</v>
      </c>
      <c r="C27" s="33">
        <v>29277</v>
      </c>
      <c r="D27" s="30" t="s">
        <v>71</v>
      </c>
      <c r="E27" s="31" t="s">
        <v>83</v>
      </c>
    </row>
    <row r="28" spans="2:5" ht="15" customHeight="1" x14ac:dyDescent="0.2">
      <c r="B28" s="28" t="s">
        <v>84</v>
      </c>
      <c r="C28" s="29">
        <v>2000</v>
      </c>
      <c r="D28" s="30" t="s">
        <v>48</v>
      </c>
      <c r="E28" s="31" t="s">
        <v>85</v>
      </c>
    </row>
    <row r="29" spans="2:5" ht="15" customHeight="1" x14ac:dyDescent="0.2">
      <c r="B29" s="28" t="s">
        <v>86</v>
      </c>
      <c r="C29" s="34">
        <v>0.49</v>
      </c>
      <c r="D29" s="30" t="s">
        <v>73</v>
      </c>
      <c r="E29" s="31" t="s">
        <v>83</v>
      </c>
    </row>
    <row r="30" spans="2:5" ht="15" customHeight="1" x14ac:dyDescent="0.2">
      <c r="B30" s="28" t="s">
        <v>87</v>
      </c>
      <c r="C30" s="33">
        <v>17</v>
      </c>
      <c r="D30" s="30" t="s">
        <v>88</v>
      </c>
      <c r="E30" s="31" t="s">
        <v>83</v>
      </c>
    </row>
    <row r="31" spans="2:5" ht="15" customHeight="1" x14ac:dyDescent="0.2">
      <c r="B31" s="28" t="s">
        <v>89</v>
      </c>
      <c r="C31" s="34">
        <v>0.05</v>
      </c>
      <c r="D31" s="30" t="s">
        <v>73</v>
      </c>
      <c r="E31" s="31" t="s">
        <v>83</v>
      </c>
    </row>
    <row r="32" spans="2:5" ht="15" customHeight="1" x14ac:dyDescent="0.2">
      <c r="B32" s="28" t="s">
        <v>90</v>
      </c>
      <c r="C32" s="34">
        <v>0.05</v>
      </c>
      <c r="D32" s="30" t="s">
        <v>73</v>
      </c>
      <c r="E32" s="31" t="s">
        <v>83</v>
      </c>
    </row>
    <row r="33" spans="2:5" ht="15" customHeight="1" x14ac:dyDescent="0.2">
      <c r="B33" s="78" t="s">
        <v>91</v>
      </c>
      <c r="C33" s="78"/>
      <c r="D33" s="78"/>
      <c r="E33" s="78"/>
    </row>
    <row r="34" spans="2:5" ht="15" customHeight="1" x14ac:dyDescent="0.2">
      <c r="B34" s="28" t="s">
        <v>92</v>
      </c>
      <c r="C34" s="32">
        <v>11</v>
      </c>
      <c r="D34" s="30" t="s">
        <v>93</v>
      </c>
      <c r="E34" s="31" t="s">
        <v>94</v>
      </c>
    </row>
    <row r="35" spans="2:5" ht="15" customHeight="1" x14ac:dyDescent="0.2">
      <c r="B35" s="28" t="s">
        <v>95</v>
      </c>
      <c r="C35" s="32">
        <v>13</v>
      </c>
      <c r="D35" s="30" t="s">
        <v>93</v>
      </c>
      <c r="E35" s="31" t="s">
        <v>94</v>
      </c>
    </row>
    <row r="36" spans="2:5" ht="15" customHeight="1" x14ac:dyDescent="0.2">
      <c r="B36" s="28" t="s">
        <v>96</v>
      </c>
      <c r="C36" s="32">
        <v>1</v>
      </c>
      <c r="D36" s="30" t="s">
        <v>93</v>
      </c>
      <c r="E36" s="31" t="s">
        <v>94</v>
      </c>
    </row>
    <row r="37" spans="2:5" ht="15" customHeight="1" x14ac:dyDescent="0.2">
      <c r="B37" s="28" t="s">
        <v>97</v>
      </c>
      <c r="C37" s="32">
        <v>0.7</v>
      </c>
      <c r="D37" s="30" t="s">
        <v>98</v>
      </c>
      <c r="E37" s="31" t="s">
        <v>94</v>
      </c>
    </row>
    <row r="38" spans="2:5" ht="15" customHeight="1" x14ac:dyDescent="0.2">
      <c r="B38" s="28" t="s">
        <v>99</v>
      </c>
      <c r="C38" s="32">
        <v>1.3</v>
      </c>
      <c r="D38" s="30" t="s">
        <v>98</v>
      </c>
      <c r="E38" s="31" t="s">
        <v>94</v>
      </c>
    </row>
    <row r="39" spans="2:5" ht="15" customHeight="1" x14ac:dyDescent="0.2">
      <c r="B39" s="28" t="s">
        <v>100</v>
      </c>
      <c r="C39" s="33">
        <v>250</v>
      </c>
      <c r="D39" s="30" t="s">
        <v>101</v>
      </c>
      <c r="E39" s="31" t="s">
        <v>94</v>
      </c>
    </row>
    <row r="40" spans="2:5" ht="15" customHeight="1" x14ac:dyDescent="0.2">
      <c r="B40" s="28" t="s">
        <v>102</v>
      </c>
      <c r="C40" s="33">
        <v>500</v>
      </c>
      <c r="D40" s="30" t="s">
        <v>103</v>
      </c>
      <c r="E40" s="31" t="s">
        <v>94</v>
      </c>
    </row>
    <row r="41" spans="2:5" ht="15" customHeight="1" x14ac:dyDescent="0.2">
      <c r="B41" s="78" t="s">
        <v>104</v>
      </c>
      <c r="C41" s="78"/>
      <c r="D41" s="78"/>
      <c r="E41" s="78"/>
    </row>
    <row r="42" spans="2:5" ht="15" customHeight="1" x14ac:dyDescent="0.2">
      <c r="B42" s="28" t="s">
        <v>105</v>
      </c>
      <c r="C42" s="32">
        <v>2.1</v>
      </c>
      <c r="D42" s="30" t="s">
        <v>93</v>
      </c>
      <c r="E42" s="31" t="s">
        <v>106</v>
      </c>
    </row>
    <row r="43" spans="2:5" ht="15" customHeight="1" x14ac:dyDescent="0.2">
      <c r="B43" s="28" t="s">
        <v>107</v>
      </c>
      <c r="C43" s="32">
        <v>2.8</v>
      </c>
      <c r="D43" s="30" t="s">
        <v>93</v>
      </c>
      <c r="E43" s="31" t="s">
        <v>106</v>
      </c>
    </row>
    <row r="44" spans="2:5" ht="15" customHeight="1" x14ac:dyDescent="0.2">
      <c r="B44" s="28" t="s">
        <v>108</v>
      </c>
      <c r="C44" s="32">
        <v>2.5</v>
      </c>
      <c r="D44" s="30" t="s">
        <v>93</v>
      </c>
      <c r="E44" s="31" t="s">
        <v>106</v>
      </c>
    </row>
    <row r="45" spans="2:5" ht="15" customHeight="1" x14ac:dyDescent="0.2">
      <c r="B45" s="28" t="s">
        <v>109</v>
      </c>
      <c r="C45" s="29">
        <v>18100</v>
      </c>
      <c r="D45" s="30" t="s">
        <v>48</v>
      </c>
      <c r="E45" s="31" t="s">
        <v>110</v>
      </c>
    </row>
    <row r="46" spans="2:5" ht="15" customHeight="1" x14ac:dyDescent="0.2">
      <c r="B46" s="28" t="s">
        <v>111</v>
      </c>
      <c r="C46" s="33">
        <v>82.37</v>
      </c>
      <c r="D46" s="30" t="s">
        <v>112</v>
      </c>
      <c r="E46" s="31" t="s">
        <v>113</v>
      </c>
    </row>
    <row r="47" spans="2:5" ht="15" customHeight="1" x14ac:dyDescent="0.2">
      <c r="B47" s="28" t="s">
        <v>114</v>
      </c>
      <c r="C47" s="33">
        <v>411.4</v>
      </c>
      <c r="D47" s="30" t="s">
        <v>112</v>
      </c>
      <c r="E47" s="31" t="s">
        <v>113</v>
      </c>
    </row>
    <row r="48" spans="2:5" ht="15" customHeight="1" x14ac:dyDescent="0.2">
      <c r="B48" s="78" t="s">
        <v>115</v>
      </c>
      <c r="C48" s="78"/>
      <c r="D48" s="78"/>
      <c r="E48" s="78"/>
    </row>
    <row r="49" spans="2:5" ht="15" customHeight="1" x14ac:dyDescent="0.2">
      <c r="B49" s="28" t="s">
        <v>116</v>
      </c>
      <c r="C49" s="34">
        <v>0.8</v>
      </c>
      <c r="D49" s="30" t="s">
        <v>73</v>
      </c>
      <c r="E49" s="31" t="s">
        <v>117</v>
      </c>
    </row>
    <row r="50" spans="2:5" ht="15" customHeight="1" x14ac:dyDescent="0.2">
      <c r="B50" s="28" t="s">
        <v>118</v>
      </c>
      <c r="C50" s="34">
        <v>0.7</v>
      </c>
      <c r="D50" s="30" t="s">
        <v>73</v>
      </c>
      <c r="E50" s="31" t="s">
        <v>117</v>
      </c>
    </row>
    <row r="51" spans="2:5" ht="15" customHeight="1" x14ac:dyDescent="0.2">
      <c r="B51" s="28" t="s">
        <v>119</v>
      </c>
      <c r="C51" s="34">
        <v>0.8</v>
      </c>
      <c r="D51" s="30" t="s">
        <v>73</v>
      </c>
      <c r="E51" s="31" t="s">
        <v>117</v>
      </c>
    </row>
    <row r="52" spans="2:5" ht="15" customHeight="1" x14ac:dyDescent="0.2">
      <c r="B52" s="78" t="s">
        <v>120</v>
      </c>
      <c r="C52" s="78"/>
      <c r="D52" s="78"/>
      <c r="E52" s="78"/>
    </row>
    <row r="53" spans="2:5" ht="15" customHeight="1" x14ac:dyDescent="0.2">
      <c r="B53" s="28" t="s">
        <v>121</v>
      </c>
      <c r="C53" s="34">
        <v>0.25169999999999998</v>
      </c>
      <c r="D53" s="30" t="s">
        <v>73</v>
      </c>
      <c r="E53" s="31" t="s">
        <v>122</v>
      </c>
    </row>
  </sheetData>
  <mergeCells count="8">
    <mergeCell ref="B41:E41"/>
    <mergeCell ref="B48:E48"/>
    <mergeCell ref="B52:E52"/>
    <mergeCell ref="B2:E2"/>
    <mergeCell ref="B5:E5"/>
    <mergeCell ref="B14:E14"/>
    <mergeCell ref="B23:E23"/>
    <mergeCell ref="B33:E3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43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6640625" defaultRowHeight="15" x14ac:dyDescent="0.2"/>
  <cols>
    <col min="1" max="1" width="3" customWidth="1"/>
    <col min="2" max="2" width="40" customWidth="1"/>
    <col min="3" max="6" width="12" customWidth="1"/>
    <col min="7" max="7" width="13" customWidth="1"/>
    <col min="8" max="8" width="54" customWidth="1"/>
    <col min="9" max="9" width="34" customWidth="1"/>
  </cols>
  <sheetData>
    <row r="2" spans="2:9" ht="17.25" customHeight="1" x14ac:dyDescent="0.25">
      <c r="B2" s="1" t="s">
        <v>123</v>
      </c>
      <c r="C2" s="1"/>
      <c r="D2" s="1"/>
      <c r="E2" s="1"/>
      <c r="F2" s="1"/>
      <c r="G2" s="1"/>
      <c r="H2" s="1"/>
      <c r="I2" s="1"/>
    </row>
    <row r="4" spans="2:9" ht="15" customHeight="1" x14ac:dyDescent="0.2">
      <c r="B4" s="79" t="s">
        <v>124</v>
      </c>
      <c r="C4" s="79"/>
      <c r="D4" s="79"/>
      <c r="E4" s="79"/>
      <c r="F4" s="79"/>
      <c r="G4" s="35">
        <v>2</v>
      </c>
      <c r="H4" s="36" t="str">
        <f>CHOOSE(G4,"DOWNSIDE","BASE","UPSIDE")</f>
        <v>BASE</v>
      </c>
    </row>
    <row r="6" spans="2:9" ht="15" customHeight="1" x14ac:dyDescent="0.2">
      <c r="B6" s="27" t="s">
        <v>125</v>
      </c>
      <c r="C6" s="27" t="s">
        <v>44</v>
      </c>
      <c r="D6" s="27" t="s">
        <v>29</v>
      </c>
      <c r="E6" s="27" t="s">
        <v>30</v>
      </c>
      <c r="F6" s="27" t="s">
        <v>31</v>
      </c>
      <c r="G6" s="27" t="s">
        <v>126</v>
      </c>
      <c r="H6" s="27" t="s">
        <v>127</v>
      </c>
      <c r="I6" s="27" t="s">
        <v>128</v>
      </c>
    </row>
    <row r="7" spans="2:9" ht="15" customHeight="1" x14ac:dyDescent="0.2">
      <c r="B7" s="78" t="s">
        <v>129</v>
      </c>
      <c r="C7" s="78"/>
      <c r="D7" s="78"/>
      <c r="E7" s="78"/>
      <c r="F7" s="78"/>
      <c r="G7" s="78"/>
      <c r="H7" s="78"/>
      <c r="I7" s="78"/>
    </row>
    <row r="8" spans="2:9" ht="21.75" customHeight="1" x14ac:dyDescent="0.2">
      <c r="B8" s="37" t="s">
        <v>130</v>
      </c>
      <c r="C8" s="38" t="s">
        <v>67</v>
      </c>
      <c r="D8" s="39">
        <v>200</v>
      </c>
      <c r="E8" s="39">
        <v>350</v>
      </c>
      <c r="F8" s="39">
        <v>500</v>
      </c>
      <c r="G8" s="40">
        <f>CHOOSE($G$4,D8,E8,F8)</f>
        <v>350</v>
      </c>
      <c r="H8" s="41" t="s">
        <v>131</v>
      </c>
      <c r="I8" s="42" t="s">
        <v>132</v>
      </c>
    </row>
    <row r="9" spans="2:9" ht="15" customHeight="1" x14ac:dyDescent="0.2">
      <c r="B9" s="37" t="s">
        <v>133</v>
      </c>
      <c r="C9" s="38" t="s">
        <v>134</v>
      </c>
      <c r="D9" s="39">
        <v>5</v>
      </c>
      <c r="E9" s="39">
        <v>6</v>
      </c>
      <c r="F9" s="39">
        <v>7</v>
      </c>
      <c r="G9" s="40">
        <f>CHOOSE($G$4,D9,E9,F9)</f>
        <v>6</v>
      </c>
      <c r="H9" s="41" t="s">
        <v>135</v>
      </c>
      <c r="I9" s="42" t="s">
        <v>136</v>
      </c>
    </row>
    <row r="10" spans="2:9" ht="15" customHeight="1" x14ac:dyDescent="0.2">
      <c r="B10" s="37" t="s">
        <v>137</v>
      </c>
      <c r="C10" s="38" t="s">
        <v>76</v>
      </c>
      <c r="D10" s="39">
        <v>100</v>
      </c>
      <c r="E10" s="39">
        <v>120</v>
      </c>
      <c r="F10" s="39">
        <v>150</v>
      </c>
      <c r="G10" s="40">
        <f>CHOOSE($G$4,D10,E10,F10)</f>
        <v>120</v>
      </c>
      <c r="H10" s="41" t="s">
        <v>138</v>
      </c>
      <c r="I10" s="42" t="s">
        <v>136</v>
      </c>
    </row>
    <row r="11" spans="2:9" ht="15" customHeight="1" x14ac:dyDescent="0.2">
      <c r="B11" s="37" t="s">
        <v>139</v>
      </c>
      <c r="C11" s="38" t="s">
        <v>73</v>
      </c>
      <c r="D11" s="43">
        <v>0.1</v>
      </c>
      <c r="E11" s="43">
        <v>0.2</v>
      </c>
      <c r="F11" s="43">
        <v>0.3</v>
      </c>
      <c r="G11" s="44">
        <f>CHOOSE($G$4,D11,E11,F11)</f>
        <v>0.2</v>
      </c>
      <c r="H11" s="41" t="s">
        <v>140</v>
      </c>
      <c r="I11" s="42" t="s">
        <v>141</v>
      </c>
    </row>
    <row r="12" spans="2:9" ht="15" customHeight="1" x14ac:dyDescent="0.2">
      <c r="B12" s="37" t="s">
        <v>142</v>
      </c>
      <c r="C12" s="38" t="s">
        <v>143</v>
      </c>
      <c r="D12" s="39">
        <v>400</v>
      </c>
      <c r="E12" s="39">
        <v>500</v>
      </c>
      <c r="F12" s="39">
        <v>750</v>
      </c>
      <c r="G12" s="40">
        <f>CHOOSE($G$4,D12,E12,F12)</f>
        <v>500</v>
      </c>
      <c r="H12" s="41" t="s">
        <v>144</v>
      </c>
      <c r="I12" s="42" t="s">
        <v>145</v>
      </c>
    </row>
    <row r="13" spans="2:9" ht="15" customHeight="1" x14ac:dyDescent="0.2">
      <c r="B13" s="78" t="s">
        <v>146</v>
      </c>
      <c r="C13" s="78"/>
      <c r="D13" s="78"/>
      <c r="E13" s="78"/>
      <c r="F13" s="78"/>
      <c r="G13" s="78"/>
      <c r="H13" s="78"/>
      <c r="I13" s="78"/>
    </row>
    <row r="14" spans="2:9" ht="21.75" customHeight="1" x14ac:dyDescent="0.2">
      <c r="B14" s="37" t="s">
        <v>147</v>
      </c>
      <c r="C14" s="38" t="s">
        <v>73</v>
      </c>
      <c r="D14" s="43">
        <v>0.06</v>
      </c>
      <c r="E14" s="43">
        <v>0.08</v>
      </c>
      <c r="F14" s="43">
        <v>0.1</v>
      </c>
      <c r="G14" s="44">
        <f>CHOOSE($G$4,D14,E14,F14)</f>
        <v>0.08</v>
      </c>
      <c r="H14" s="41" t="s">
        <v>148</v>
      </c>
      <c r="I14" s="42" t="s">
        <v>149</v>
      </c>
    </row>
    <row r="15" spans="2:9" ht="15" customHeight="1" x14ac:dyDescent="0.2">
      <c r="B15" s="37" t="s">
        <v>150</v>
      </c>
      <c r="C15" s="38" t="s">
        <v>73</v>
      </c>
      <c r="D15" s="43">
        <v>0.13</v>
      </c>
      <c r="E15" s="43">
        <v>0.18</v>
      </c>
      <c r="F15" s="43">
        <v>0.24</v>
      </c>
      <c r="G15" s="44">
        <f>CHOOSE($G$4,D15,E15,F15)</f>
        <v>0.18</v>
      </c>
      <c r="H15" s="41" t="s">
        <v>151</v>
      </c>
      <c r="I15" s="42" t="s">
        <v>149</v>
      </c>
    </row>
    <row r="16" spans="2:9" ht="15" customHeight="1" x14ac:dyDescent="0.2">
      <c r="B16" s="78" t="s">
        <v>152</v>
      </c>
      <c r="C16" s="78"/>
      <c r="D16" s="78"/>
      <c r="E16" s="78"/>
      <c r="F16" s="78"/>
      <c r="G16" s="78"/>
      <c r="H16" s="78"/>
      <c r="I16" s="78"/>
    </row>
    <row r="17" spans="2:9" ht="15" customHeight="1" x14ac:dyDescent="0.2">
      <c r="B17" s="37" t="s">
        <v>153</v>
      </c>
      <c r="C17" s="38" t="s">
        <v>93</v>
      </c>
      <c r="D17" s="45">
        <v>9</v>
      </c>
      <c r="E17" s="45">
        <v>10</v>
      </c>
      <c r="F17" s="45">
        <v>11</v>
      </c>
      <c r="G17" s="46">
        <f t="shared" ref="G17:G22" si="0">CHOOSE($G$4,D17,E17,F17)</f>
        <v>10</v>
      </c>
      <c r="H17" s="41" t="s">
        <v>154</v>
      </c>
      <c r="I17" s="42" t="s">
        <v>136</v>
      </c>
    </row>
    <row r="18" spans="2:9" ht="15" customHeight="1" x14ac:dyDescent="0.2">
      <c r="B18" s="37" t="s">
        <v>155</v>
      </c>
      <c r="C18" s="38" t="s">
        <v>93</v>
      </c>
      <c r="D18" s="45">
        <v>11</v>
      </c>
      <c r="E18" s="45">
        <v>12</v>
      </c>
      <c r="F18" s="45">
        <v>12.5</v>
      </c>
      <c r="G18" s="46">
        <f t="shared" si="0"/>
        <v>12</v>
      </c>
      <c r="H18" s="41" t="s">
        <v>156</v>
      </c>
      <c r="I18" s="42" t="s">
        <v>136</v>
      </c>
    </row>
    <row r="19" spans="2:9" ht="21.75" customHeight="1" x14ac:dyDescent="0.2">
      <c r="B19" s="37" t="s">
        <v>157</v>
      </c>
      <c r="C19" s="38" t="s">
        <v>93</v>
      </c>
      <c r="D19" s="45">
        <v>7</v>
      </c>
      <c r="E19" s="45">
        <v>7</v>
      </c>
      <c r="F19" s="45">
        <v>6.5</v>
      </c>
      <c r="G19" s="46">
        <f t="shared" si="0"/>
        <v>7</v>
      </c>
      <c r="H19" s="41" t="s">
        <v>158</v>
      </c>
      <c r="I19" s="42" t="s">
        <v>136</v>
      </c>
    </row>
    <row r="20" spans="2:9" ht="15" customHeight="1" x14ac:dyDescent="0.2">
      <c r="B20" s="37" t="s">
        <v>159</v>
      </c>
      <c r="C20" s="38" t="s">
        <v>93</v>
      </c>
      <c r="D20" s="45">
        <v>1</v>
      </c>
      <c r="E20" s="45">
        <v>1</v>
      </c>
      <c r="F20" s="45">
        <v>0.8</v>
      </c>
      <c r="G20" s="46">
        <f t="shared" si="0"/>
        <v>1</v>
      </c>
      <c r="H20" s="41" t="s">
        <v>160</v>
      </c>
      <c r="I20" s="42" t="s">
        <v>136</v>
      </c>
    </row>
    <row r="21" spans="2:9" ht="15" customHeight="1" x14ac:dyDescent="0.2">
      <c r="B21" s="37" t="s">
        <v>161</v>
      </c>
      <c r="C21" s="38" t="s">
        <v>93</v>
      </c>
      <c r="D21" s="45">
        <v>1.5</v>
      </c>
      <c r="E21" s="45">
        <v>2</v>
      </c>
      <c r="F21" s="45">
        <v>2.8</v>
      </c>
      <c r="G21" s="46">
        <f t="shared" si="0"/>
        <v>2</v>
      </c>
      <c r="H21" s="41" t="s">
        <v>162</v>
      </c>
      <c r="I21" s="42" t="s">
        <v>145</v>
      </c>
    </row>
    <row r="22" spans="2:9" ht="15" customHeight="1" x14ac:dyDescent="0.2">
      <c r="B22" s="37" t="s">
        <v>163</v>
      </c>
      <c r="C22" s="38" t="s">
        <v>164</v>
      </c>
      <c r="D22" s="45">
        <v>1</v>
      </c>
      <c r="E22" s="45">
        <v>1.5</v>
      </c>
      <c r="F22" s="45">
        <v>2</v>
      </c>
      <c r="G22" s="46">
        <f t="shared" si="0"/>
        <v>1.5</v>
      </c>
      <c r="H22" s="41" t="s">
        <v>165</v>
      </c>
      <c r="I22" s="42" t="s">
        <v>145</v>
      </c>
    </row>
    <row r="23" spans="2:9" ht="15" customHeight="1" x14ac:dyDescent="0.2">
      <c r="B23" s="78" t="s">
        <v>166</v>
      </c>
      <c r="C23" s="78"/>
      <c r="D23" s="78"/>
      <c r="E23" s="78"/>
      <c r="F23" s="78"/>
      <c r="G23" s="78"/>
      <c r="H23" s="78"/>
      <c r="I23" s="78"/>
    </row>
    <row r="24" spans="2:9" ht="15" customHeight="1" x14ac:dyDescent="0.2">
      <c r="B24" s="37" t="s">
        <v>167</v>
      </c>
      <c r="C24" s="38" t="s">
        <v>168</v>
      </c>
      <c r="D24" s="47">
        <v>32</v>
      </c>
      <c r="E24" s="47">
        <v>30</v>
      </c>
      <c r="F24" s="47">
        <v>27</v>
      </c>
      <c r="G24" s="48">
        <f>CHOOSE($G$4,D24,E24,F24)</f>
        <v>30</v>
      </c>
      <c r="H24" s="41" t="s">
        <v>169</v>
      </c>
      <c r="I24" s="42" t="s">
        <v>136</v>
      </c>
    </row>
    <row r="25" spans="2:9" ht="15" customHeight="1" x14ac:dyDescent="0.2">
      <c r="B25" s="37" t="s">
        <v>170</v>
      </c>
      <c r="C25" s="38" t="s">
        <v>168</v>
      </c>
      <c r="D25" s="47">
        <v>22</v>
      </c>
      <c r="E25" s="47">
        <v>20</v>
      </c>
      <c r="F25" s="47">
        <v>18</v>
      </c>
      <c r="G25" s="48">
        <f>CHOOSE($G$4,D25,E25,F25)</f>
        <v>20</v>
      </c>
      <c r="H25" s="41" t="s">
        <v>171</v>
      </c>
      <c r="I25" s="42" t="s">
        <v>172</v>
      </c>
    </row>
    <row r="26" spans="2:9" ht="15" customHeight="1" x14ac:dyDescent="0.2">
      <c r="B26" s="37" t="s">
        <v>173</v>
      </c>
      <c r="C26" s="38" t="s">
        <v>168</v>
      </c>
      <c r="D26" s="47">
        <v>60</v>
      </c>
      <c r="E26" s="47">
        <v>60</v>
      </c>
      <c r="F26" s="47">
        <v>55</v>
      </c>
      <c r="G26" s="48">
        <f>CHOOSE($G$4,D26,E26,F26)</f>
        <v>60</v>
      </c>
      <c r="H26" s="41" t="s">
        <v>174</v>
      </c>
      <c r="I26" s="42" t="s">
        <v>136</v>
      </c>
    </row>
    <row r="27" spans="2:9" ht="15" customHeight="1" x14ac:dyDescent="0.2">
      <c r="B27" s="37" t="s">
        <v>175</v>
      </c>
      <c r="C27" s="38" t="s">
        <v>176</v>
      </c>
      <c r="D27" s="45">
        <v>1.4</v>
      </c>
      <c r="E27" s="45">
        <v>1.2</v>
      </c>
      <c r="F27" s="45">
        <v>1</v>
      </c>
      <c r="G27" s="46">
        <f>CHOOSE($G$4,D27,E27,F27)</f>
        <v>1.2</v>
      </c>
      <c r="H27" s="41" t="s">
        <v>177</v>
      </c>
      <c r="I27" s="42" t="s">
        <v>145</v>
      </c>
    </row>
    <row r="28" spans="2:9" ht="15" customHeight="1" x14ac:dyDescent="0.2">
      <c r="B28" s="78" t="s">
        <v>178</v>
      </c>
      <c r="C28" s="78"/>
      <c r="D28" s="78"/>
      <c r="E28" s="78"/>
      <c r="F28" s="78"/>
      <c r="G28" s="78"/>
      <c r="H28" s="78"/>
      <c r="I28" s="78"/>
    </row>
    <row r="29" spans="2:9" ht="15" customHeight="1" x14ac:dyDescent="0.2">
      <c r="B29" s="37" t="s">
        <v>179</v>
      </c>
      <c r="C29" s="38" t="s">
        <v>73</v>
      </c>
      <c r="D29" s="43">
        <v>0</v>
      </c>
      <c r="E29" s="43">
        <v>0.25</v>
      </c>
      <c r="F29" s="43">
        <v>0.4</v>
      </c>
      <c r="G29" s="44">
        <f>CHOOSE($G$4,D29,E29,F29)</f>
        <v>0.25</v>
      </c>
      <c r="H29" s="41" t="s">
        <v>180</v>
      </c>
      <c r="I29" s="42" t="s">
        <v>172</v>
      </c>
    </row>
    <row r="30" spans="2:9" ht="15" customHeight="1" x14ac:dyDescent="0.2">
      <c r="B30" s="37" t="s">
        <v>181</v>
      </c>
      <c r="C30" s="38" t="s">
        <v>73</v>
      </c>
      <c r="D30" s="43">
        <v>0.7</v>
      </c>
      <c r="E30" s="43">
        <v>0.7</v>
      </c>
      <c r="F30" s="43">
        <v>0.7</v>
      </c>
      <c r="G30" s="44">
        <f>CHOOSE($G$4,D30,E30,F30)</f>
        <v>0.7</v>
      </c>
      <c r="H30" s="41" t="s">
        <v>182</v>
      </c>
      <c r="I30" s="42" t="s">
        <v>172</v>
      </c>
    </row>
    <row r="31" spans="2:9" ht="15" customHeight="1" x14ac:dyDescent="0.2">
      <c r="B31" s="37" t="s">
        <v>183</v>
      </c>
      <c r="C31" s="38" t="s">
        <v>73</v>
      </c>
      <c r="D31" s="43">
        <v>0.8</v>
      </c>
      <c r="E31" s="43">
        <v>0.8</v>
      </c>
      <c r="F31" s="43">
        <v>0.8</v>
      </c>
      <c r="G31" s="44">
        <f>CHOOSE($G$4,D31,E31,F31)</f>
        <v>0.8</v>
      </c>
      <c r="H31" s="41" t="s">
        <v>184</v>
      </c>
      <c r="I31" s="42" t="s">
        <v>172</v>
      </c>
    </row>
    <row r="32" spans="2:9" ht="15" customHeight="1" x14ac:dyDescent="0.2">
      <c r="B32" s="78" t="s">
        <v>185</v>
      </c>
      <c r="C32" s="78"/>
      <c r="D32" s="78"/>
      <c r="E32" s="78"/>
      <c r="F32" s="78"/>
      <c r="G32" s="78"/>
      <c r="H32" s="78"/>
      <c r="I32" s="78"/>
    </row>
    <row r="33" spans="2:9" ht="15" customHeight="1" x14ac:dyDescent="0.2">
      <c r="B33" s="37" t="s">
        <v>186</v>
      </c>
      <c r="C33" s="38" t="s">
        <v>73</v>
      </c>
      <c r="D33" s="43">
        <v>0.05</v>
      </c>
      <c r="E33" s="43">
        <v>0.04</v>
      </c>
      <c r="F33" s="43">
        <v>3.5000000000000003E-2</v>
      </c>
      <c r="G33" s="44">
        <f>CHOOSE($G$4,D33,E33,F33)</f>
        <v>0.04</v>
      </c>
      <c r="H33" s="41" t="s">
        <v>187</v>
      </c>
      <c r="I33" s="42" t="s">
        <v>136</v>
      </c>
    </row>
    <row r="34" spans="2:9" ht="15" customHeight="1" x14ac:dyDescent="0.2">
      <c r="B34" s="37" t="s">
        <v>188</v>
      </c>
      <c r="C34" s="38" t="s">
        <v>168</v>
      </c>
      <c r="D34" s="47">
        <v>20</v>
      </c>
      <c r="E34" s="47">
        <v>18</v>
      </c>
      <c r="F34" s="47">
        <v>15</v>
      </c>
      <c r="G34" s="48">
        <f>CHOOSE($G$4,D34,E34,F34)</f>
        <v>18</v>
      </c>
      <c r="H34" s="41" t="s">
        <v>189</v>
      </c>
      <c r="I34" s="42" t="s">
        <v>132</v>
      </c>
    </row>
    <row r="35" spans="2:9" ht="15" customHeight="1" x14ac:dyDescent="0.2">
      <c r="B35" s="37" t="s">
        <v>190</v>
      </c>
      <c r="C35" s="38" t="s">
        <v>93</v>
      </c>
      <c r="D35" s="45">
        <v>0.85</v>
      </c>
      <c r="E35" s="45">
        <v>0.75</v>
      </c>
      <c r="F35" s="45">
        <v>0.65</v>
      </c>
      <c r="G35" s="46">
        <f>CHOOSE($G$4,D35,E35,F35)</f>
        <v>0.75</v>
      </c>
      <c r="H35" s="41" t="s">
        <v>191</v>
      </c>
      <c r="I35" s="42" t="s">
        <v>192</v>
      </c>
    </row>
    <row r="36" spans="2:9" ht="15" customHeight="1" x14ac:dyDescent="0.2">
      <c r="B36" s="37" t="s">
        <v>193</v>
      </c>
      <c r="C36" s="38" t="s">
        <v>73</v>
      </c>
      <c r="D36" s="43">
        <v>0.1</v>
      </c>
      <c r="E36" s="43">
        <v>0.08</v>
      </c>
      <c r="F36" s="43">
        <v>0.06</v>
      </c>
      <c r="G36" s="44">
        <f>CHOOSE($G$4,D36,E36,F36)</f>
        <v>0.08</v>
      </c>
      <c r="H36" s="41" t="s">
        <v>194</v>
      </c>
      <c r="I36" s="42" t="s">
        <v>195</v>
      </c>
    </row>
    <row r="37" spans="2:9" ht="15" customHeight="1" x14ac:dyDescent="0.2">
      <c r="B37" s="37" t="s">
        <v>196</v>
      </c>
      <c r="C37" s="38" t="s">
        <v>73</v>
      </c>
      <c r="D37" s="43">
        <v>5.0000000000000001E-3</v>
      </c>
      <c r="E37" s="43">
        <v>5.0000000000000001E-3</v>
      </c>
      <c r="F37" s="43">
        <v>5.0000000000000001E-3</v>
      </c>
      <c r="G37" s="44">
        <f>CHOOSE($G$4,D37,E37,F37)</f>
        <v>5.0000000000000001E-3</v>
      </c>
      <c r="H37" s="41" t="s">
        <v>197</v>
      </c>
      <c r="I37" s="42" t="s">
        <v>195</v>
      </c>
    </row>
    <row r="38" spans="2:9" ht="15" customHeight="1" x14ac:dyDescent="0.2">
      <c r="B38" s="78" t="s">
        <v>198</v>
      </c>
      <c r="C38" s="78"/>
      <c r="D38" s="78"/>
      <c r="E38" s="78"/>
      <c r="F38" s="78"/>
      <c r="G38" s="78"/>
      <c r="H38" s="78"/>
      <c r="I38" s="78"/>
    </row>
    <row r="39" spans="2:9" ht="15" customHeight="1" x14ac:dyDescent="0.2">
      <c r="B39" s="37" t="s">
        <v>199</v>
      </c>
      <c r="C39" s="38" t="s">
        <v>73</v>
      </c>
      <c r="D39" s="43">
        <v>0.05</v>
      </c>
      <c r="E39" s="43">
        <v>0.04</v>
      </c>
      <c r="F39" s="43">
        <v>0.03</v>
      </c>
      <c r="G39" s="44">
        <f>CHOOSE($G$4,D39,E39,F39)</f>
        <v>0.04</v>
      </c>
      <c r="H39" s="41" t="s">
        <v>200</v>
      </c>
      <c r="I39" s="42" t="s">
        <v>195</v>
      </c>
    </row>
    <row r="40" spans="2:9" ht="15" customHeight="1" x14ac:dyDescent="0.2">
      <c r="B40" s="37" t="s">
        <v>201</v>
      </c>
      <c r="C40" s="38" t="s">
        <v>73</v>
      </c>
      <c r="D40" s="49">
        <v>0.25169999999999998</v>
      </c>
      <c r="E40" s="49">
        <v>0.25169999999999998</v>
      </c>
      <c r="F40" s="49">
        <v>0.25169999999999998</v>
      </c>
      <c r="G40" s="50">
        <f>CHOOSE($G$4,D40,E40,F40)</f>
        <v>0.25169999999999998</v>
      </c>
      <c r="H40" s="41" t="s">
        <v>122</v>
      </c>
      <c r="I40" s="42" t="s">
        <v>195</v>
      </c>
    </row>
    <row r="41" spans="2:9" ht="15" customHeight="1" x14ac:dyDescent="0.2">
      <c r="B41" s="37" t="s">
        <v>202</v>
      </c>
      <c r="C41" s="38" t="s">
        <v>203</v>
      </c>
      <c r="D41" s="39">
        <v>10</v>
      </c>
      <c r="E41" s="39">
        <v>10</v>
      </c>
      <c r="F41" s="39">
        <v>10</v>
      </c>
      <c r="G41" s="40">
        <f>CHOOSE($G$4,D41,E41,F41)</f>
        <v>10</v>
      </c>
      <c r="H41" s="41" t="s">
        <v>204</v>
      </c>
      <c r="I41" s="42" t="s">
        <v>195</v>
      </c>
    </row>
    <row r="42" spans="2:9" ht="15" customHeight="1" x14ac:dyDescent="0.2">
      <c r="B42" s="37" t="s">
        <v>205</v>
      </c>
      <c r="C42" s="38" t="s">
        <v>203</v>
      </c>
      <c r="D42" s="39">
        <v>8</v>
      </c>
      <c r="E42" s="39">
        <v>8</v>
      </c>
      <c r="F42" s="39">
        <v>8</v>
      </c>
      <c r="G42" s="40">
        <f>CHOOSE($G$4,D42,E42,F42)</f>
        <v>8</v>
      </c>
      <c r="H42" s="41" t="s">
        <v>206</v>
      </c>
      <c r="I42" s="42" t="s">
        <v>145</v>
      </c>
    </row>
    <row r="43" spans="2:9" ht="21.75" customHeight="1" x14ac:dyDescent="0.2">
      <c r="B43" s="37" t="s">
        <v>207</v>
      </c>
      <c r="C43" s="38" t="s">
        <v>73</v>
      </c>
      <c r="D43" s="49">
        <v>0.13</v>
      </c>
      <c r="E43" s="49">
        <v>0.1125</v>
      </c>
      <c r="F43" s="49">
        <v>0.1</v>
      </c>
      <c r="G43" s="50">
        <f>CHOOSE($G$4,D43,E43,F43)</f>
        <v>0.1125</v>
      </c>
      <c r="H43" s="41" t="s">
        <v>208</v>
      </c>
      <c r="I43" s="42" t="s">
        <v>195</v>
      </c>
    </row>
  </sheetData>
  <mergeCells count="9">
    <mergeCell ref="B23:I23"/>
    <mergeCell ref="B28:I28"/>
    <mergeCell ref="B32:I32"/>
    <mergeCell ref="B38:I38"/>
    <mergeCell ref="B2:I2"/>
    <mergeCell ref="B4:F4"/>
    <mergeCell ref="B7:I7"/>
    <mergeCell ref="B13:I13"/>
    <mergeCell ref="B16:I16"/>
  </mergeCells>
  <dataValidations count="1">
    <dataValidation type="whole" errorTitle="Scenario" error="Enter 1 (Downside), 2 (Base) or 3 (Upside)" sqref="G4" xr:uid="{00000000-0002-0000-0300-000000000000}">
      <formula1>1</formula1>
      <formula2>3</formula2>
    </dataValidation>
  </dataValidations>
  <hyperlinks>
    <hyperlink ref="I8" r:id="rId1" xr:uid="{00000000-0004-0000-0300-000000000000}"/>
    <hyperlink ref="I9" r:id="rId2" xr:uid="{00000000-0004-0000-0300-000001000000}"/>
    <hyperlink ref="I10" r:id="rId3" xr:uid="{00000000-0004-0000-0300-000002000000}"/>
    <hyperlink ref="I11" r:id="rId4" xr:uid="{00000000-0004-0000-0300-000003000000}"/>
    <hyperlink ref="I12" r:id="rId5" xr:uid="{00000000-0004-0000-0300-000004000000}"/>
    <hyperlink ref="I14" r:id="rId6" xr:uid="{00000000-0004-0000-0300-000005000000}"/>
    <hyperlink ref="I15" r:id="rId7" xr:uid="{00000000-0004-0000-0300-000006000000}"/>
    <hyperlink ref="I17" r:id="rId8" xr:uid="{00000000-0004-0000-0300-000007000000}"/>
    <hyperlink ref="I18" r:id="rId9" xr:uid="{00000000-0004-0000-0300-000008000000}"/>
    <hyperlink ref="I19" r:id="rId10" xr:uid="{00000000-0004-0000-0300-000009000000}"/>
    <hyperlink ref="I20" r:id="rId11" xr:uid="{00000000-0004-0000-0300-00000A000000}"/>
    <hyperlink ref="I21" r:id="rId12" xr:uid="{00000000-0004-0000-0300-00000B000000}"/>
    <hyperlink ref="I22" r:id="rId13" xr:uid="{00000000-0004-0000-0300-00000C000000}"/>
    <hyperlink ref="I24" r:id="rId14" xr:uid="{00000000-0004-0000-0300-00000D000000}"/>
    <hyperlink ref="I25" r:id="rId15" xr:uid="{00000000-0004-0000-0300-00000E000000}"/>
    <hyperlink ref="I26" r:id="rId16" xr:uid="{00000000-0004-0000-0300-00000F000000}"/>
    <hyperlink ref="I27" r:id="rId17" xr:uid="{00000000-0004-0000-0300-000010000000}"/>
    <hyperlink ref="I29" r:id="rId18" xr:uid="{00000000-0004-0000-0300-000011000000}"/>
    <hyperlink ref="I30" r:id="rId19" xr:uid="{00000000-0004-0000-0300-000012000000}"/>
    <hyperlink ref="I31" r:id="rId20" xr:uid="{00000000-0004-0000-0300-000013000000}"/>
    <hyperlink ref="I33" r:id="rId21" xr:uid="{00000000-0004-0000-0300-000014000000}"/>
    <hyperlink ref="I34" r:id="rId22" xr:uid="{00000000-0004-0000-0300-000015000000}"/>
    <hyperlink ref="I35" r:id="rId23" xr:uid="{00000000-0004-0000-0300-000016000000}"/>
    <hyperlink ref="I36" r:id="rId24" xr:uid="{00000000-0004-0000-0300-000017000000}"/>
    <hyperlink ref="I37" r:id="rId25" xr:uid="{00000000-0004-0000-0300-000018000000}"/>
    <hyperlink ref="I39" r:id="rId26" xr:uid="{00000000-0004-0000-0300-000019000000}"/>
    <hyperlink ref="I40" r:id="rId27" xr:uid="{00000000-0004-0000-0300-00001A000000}"/>
    <hyperlink ref="I41" r:id="rId28" xr:uid="{00000000-0004-0000-0300-00001B000000}"/>
    <hyperlink ref="I42" r:id="rId29" xr:uid="{00000000-0004-0000-0300-00001C000000}"/>
    <hyperlink ref="I43" r:id="rId30" xr:uid="{00000000-0004-0000-0300-00001D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22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46" customWidth="1"/>
    <col min="3" max="3" width="3" customWidth="1"/>
    <col min="4" max="8" width="15" customWidth="1"/>
  </cols>
  <sheetData>
    <row r="2" spans="2:8" ht="17.25" customHeight="1" x14ac:dyDescent="0.25">
      <c r="B2" s="1" t="s">
        <v>209</v>
      </c>
      <c r="C2" s="1"/>
      <c r="D2" s="1"/>
      <c r="E2" s="1"/>
      <c r="F2" s="1"/>
      <c r="G2" s="1"/>
      <c r="H2" s="1"/>
    </row>
    <row r="4" spans="2:8" ht="15" customHeight="1" x14ac:dyDescent="0.2">
      <c r="B4" s="51" t="s">
        <v>210</v>
      </c>
      <c r="D4" s="27" t="s">
        <v>211</v>
      </c>
      <c r="E4" s="27" t="s">
        <v>212</v>
      </c>
      <c r="F4" s="27" t="s">
        <v>213</v>
      </c>
      <c r="G4" s="27" t="s">
        <v>214</v>
      </c>
      <c r="H4" s="27" t="s">
        <v>215</v>
      </c>
    </row>
    <row r="5" spans="2:8" ht="15" customHeight="1" x14ac:dyDescent="0.2">
      <c r="B5" s="78" t="s">
        <v>216</v>
      </c>
      <c r="C5" s="78"/>
      <c r="D5" s="78"/>
      <c r="E5" s="78"/>
      <c r="F5" s="78"/>
      <c r="G5" s="78"/>
      <c r="H5" s="78"/>
    </row>
    <row r="6" spans="2:8" ht="15" customHeight="1" x14ac:dyDescent="0.2">
      <c r="B6" s="37" t="s">
        <v>217</v>
      </c>
      <c r="D6" s="43">
        <v>0.1</v>
      </c>
      <c r="E6" s="43">
        <v>0.15</v>
      </c>
      <c r="F6" s="43">
        <v>0.2</v>
      </c>
      <c r="G6" s="43">
        <v>0.25</v>
      </c>
      <c r="H6" s="43">
        <v>0.3</v>
      </c>
    </row>
    <row r="7" spans="2:8" ht="15" customHeight="1" x14ac:dyDescent="0.2">
      <c r="B7" s="37" t="s">
        <v>218</v>
      </c>
      <c r="D7" s="52">
        <f>ROUND(Assumptions!$G$8*D6,0)</f>
        <v>35</v>
      </c>
      <c r="E7" s="52">
        <f>ROUND(Assumptions!$G$8*E6,0)</f>
        <v>53</v>
      </c>
      <c r="F7" s="52">
        <f>ROUND(Assumptions!$G$8*F6,0)</f>
        <v>70</v>
      </c>
      <c r="G7" s="52">
        <f>ROUND(Assumptions!$G$8*G6,0)</f>
        <v>88</v>
      </c>
      <c r="H7" s="52">
        <f>ROUND(Assumptions!$G$8*H6,0)</f>
        <v>105</v>
      </c>
    </row>
    <row r="8" spans="2:8" ht="15" customHeight="1" x14ac:dyDescent="0.2">
      <c r="B8" s="36" t="s">
        <v>219</v>
      </c>
      <c r="D8" s="53">
        <f>D7</f>
        <v>35</v>
      </c>
      <c r="E8" s="53">
        <f>D8+E7</f>
        <v>88</v>
      </c>
      <c r="F8" s="53">
        <f>E8+F7</f>
        <v>158</v>
      </c>
      <c r="G8" s="53">
        <f>F8+G7</f>
        <v>246</v>
      </c>
      <c r="H8" s="53">
        <f>G8+H7</f>
        <v>351</v>
      </c>
    </row>
    <row r="9" spans="2:8" ht="15" customHeight="1" x14ac:dyDescent="0.2">
      <c r="B9" s="37" t="s">
        <v>220</v>
      </c>
      <c r="D9" s="52">
        <f>D7*Assumptions!$G$9</f>
        <v>210</v>
      </c>
      <c r="E9" s="52">
        <f>E7*Assumptions!$G$9</f>
        <v>318</v>
      </c>
      <c r="F9" s="52">
        <f>F7*Assumptions!$G$9</f>
        <v>420</v>
      </c>
      <c r="G9" s="52">
        <f>G7*Assumptions!$G$9</f>
        <v>528</v>
      </c>
      <c r="H9" s="52">
        <f>H7*Assumptions!$G$9</f>
        <v>630</v>
      </c>
    </row>
    <row r="10" spans="2:8" ht="15" customHeight="1" x14ac:dyDescent="0.2">
      <c r="B10" s="36" t="s">
        <v>221</v>
      </c>
      <c r="D10" s="53">
        <f>D9</f>
        <v>210</v>
      </c>
      <c r="E10" s="53">
        <f>D10+E9</f>
        <v>528</v>
      </c>
      <c r="F10" s="53">
        <f>E10+F9</f>
        <v>948</v>
      </c>
      <c r="G10" s="53">
        <f>F10+G9</f>
        <v>1476</v>
      </c>
      <c r="H10" s="53">
        <f>G10+H9</f>
        <v>2106</v>
      </c>
    </row>
    <row r="11" spans="2:8" ht="15" customHeight="1" x14ac:dyDescent="0.2">
      <c r="B11" s="37" t="s">
        <v>222</v>
      </c>
      <c r="D11" s="52">
        <f>Assumptions!$G$10</f>
        <v>120</v>
      </c>
      <c r="E11" s="52">
        <f>Assumptions!$G$10</f>
        <v>120</v>
      </c>
      <c r="F11" s="52">
        <f>Assumptions!$G$10</f>
        <v>120</v>
      </c>
      <c r="G11" s="52">
        <f>Assumptions!$G$10</f>
        <v>120</v>
      </c>
      <c r="H11" s="52">
        <f>Assumptions!$G$10</f>
        <v>120</v>
      </c>
    </row>
    <row r="12" spans="2:8" ht="15" customHeight="1" x14ac:dyDescent="0.2">
      <c r="B12" s="36" t="s">
        <v>223</v>
      </c>
      <c r="D12" s="54">
        <f>D10*D11/1000</f>
        <v>25.2</v>
      </c>
      <c r="E12" s="54">
        <f>E10*E11/1000</f>
        <v>63.36</v>
      </c>
      <c r="F12" s="54">
        <f>F10*F11/1000</f>
        <v>113.76</v>
      </c>
      <c r="G12" s="54">
        <f>G10*G11/1000</f>
        <v>177.12</v>
      </c>
      <c r="H12" s="54">
        <f>H10*H11/1000</f>
        <v>252.72</v>
      </c>
    </row>
    <row r="14" spans="2:8" ht="15" customHeight="1" x14ac:dyDescent="0.2">
      <c r="B14" s="78" t="s">
        <v>224</v>
      </c>
      <c r="C14" s="78"/>
      <c r="D14" s="78"/>
      <c r="E14" s="78"/>
      <c r="F14" s="78"/>
      <c r="G14" s="78"/>
      <c r="H14" s="78"/>
    </row>
    <row r="15" spans="2:8" ht="15" customHeight="1" x14ac:dyDescent="0.2">
      <c r="B15" s="37" t="s">
        <v>225</v>
      </c>
      <c r="D15" s="55">
        <f>Assumptions!$G$11*(1/5)</f>
        <v>4.0000000000000008E-2</v>
      </c>
      <c r="E15" s="55">
        <f>Assumptions!$G$11*(2/5)</f>
        <v>8.0000000000000016E-2</v>
      </c>
      <c r="F15" s="55">
        <f>Assumptions!$G$11*(3/5)</f>
        <v>0.12</v>
      </c>
      <c r="G15" s="55">
        <f>Assumptions!$G$11*(4/5)</f>
        <v>0.16000000000000003</v>
      </c>
      <c r="H15" s="55">
        <f>Assumptions!$G$11*(5/5)</f>
        <v>0.2</v>
      </c>
    </row>
    <row r="16" spans="2:8" ht="15" customHeight="1" x14ac:dyDescent="0.2">
      <c r="B16" s="37" t="s">
        <v>226</v>
      </c>
      <c r="D16" s="52">
        <f>ROUND(D8*D15,0)</f>
        <v>1</v>
      </c>
      <c r="E16" s="52">
        <f>ROUND(E8*E15,0)</f>
        <v>7</v>
      </c>
      <c r="F16" s="52">
        <f>ROUND(F8*F15,0)</f>
        <v>19</v>
      </c>
      <c r="G16" s="52">
        <f>ROUND(G8*G15,0)</f>
        <v>39</v>
      </c>
      <c r="H16" s="52">
        <f>ROUND(H8*H15,0)</f>
        <v>70</v>
      </c>
    </row>
    <row r="17" spans="2:8" ht="15" customHeight="1" x14ac:dyDescent="0.2">
      <c r="B17" s="36" t="s">
        <v>227</v>
      </c>
      <c r="D17" s="54">
        <f>D16*Assumptions!$G$12/1000</f>
        <v>0.5</v>
      </c>
      <c r="E17" s="54">
        <f>E16*Assumptions!$G$12/1000</f>
        <v>3.5</v>
      </c>
      <c r="F17" s="54">
        <f>F16*Assumptions!$G$12/1000</f>
        <v>9.5</v>
      </c>
      <c r="G17" s="54">
        <f>G16*Assumptions!$G$12/1000</f>
        <v>19.5</v>
      </c>
      <c r="H17" s="54">
        <f>H16*Assumptions!$G$12/1000</f>
        <v>35</v>
      </c>
    </row>
    <row r="18" spans="2:8" ht="15" customHeight="1" x14ac:dyDescent="0.2">
      <c r="B18" s="37" t="s">
        <v>228</v>
      </c>
      <c r="D18" s="56">
        <f>D17</f>
        <v>0.5</v>
      </c>
      <c r="E18" s="56">
        <f>E17-D17</f>
        <v>3</v>
      </c>
      <c r="F18" s="56">
        <f>F17-E17</f>
        <v>6</v>
      </c>
      <c r="G18" s="56">
        <f>G17-F17</f>
        <v>10</v>
      </c>
      <c r="H18" s="56">
        <f>H17-G17</f>
        <v>15.5</v>
      </c>
    </row>
    <row r="20" spans="2:8" ht="15" customHeight="1" x14ac:dyDescent="0.2">
      <c r="B20" s="78" t="s">
        <v>229</v>
      </c>
      <c r="C20" s="78"/>
      <c r="D20" s="78"/>
      <c r="E20" s="78"/>
      <c r="F20" s="78"/>
      <c r="G20" s="78"/>
      <c r="H20" s="78"/>
    </row>
    <row r="21" spans="2:8" ht="15" customHeight="1" x14ac:dyDescent="0.2">
      <c r="B21" s="36" t="s">
        <v>230</v>
      </c>
      <c r="D21" s="57">
        <f>Assumptions!$G$14+(Assumptions!$G$15-Assumptions!$G$14)*(0/4)</f>
        <v>0.08</v>
      </c>
      <c r="E21" s="57">
        <f>Assumptions!$G$14+(Assumptions!$G$15-Assumptions!$G$14)*(1/4)</f>
        <v>0.105</v>
      </c>
      <c r="F21" s="57">
        <f>Assumptions!$G$14+(Assumptions!$G$15-Assumptions!$G$14)*(2/4)</f>
        <v>0.13</v>
      </c>
      <c r="G21" s="57">
        <f>Assumptions!$G$14+(Assumptions!$G$15-Assumptions!$G$14)*(3/4)</f>
        <v>0.155</v>
      </c>
      <c r="H21" s="57">
        <f>Assumptions!$G$14+(Assumptions!$G$15-Assumptions!$G$14)*(4/4)</f>
        <v>0.18</v>
      </c>
    </row>
    <row r="22" spans="2:8" ht="20.25" customHeight="1" x14ac:dyDescent="0.2">
      <c r="B22" s="8" t="s">
        <v>231</v>
      </c>
      <c r="C22" s="8"/>
      <c r="D22" s="8"/>
      <c r="E22" s="8"/>
      <c r="F22" s="8"/>
      <c r="G22" s="8"/>
      <c r="H22" s="8"/>
    </row>
  </sheetData>
  <mergeCells count="5">
    <mergeCell ref="B2:H2"/>
    <mergeCell ref="B5:H5"/>
    <mergeCell ref="B14:H14"/>
    <mergeCell ref="B20:H20"/>
    <mergeCell ref="B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27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46" customWidth="1"/>
    <col min="3" max="3" width="3" customWidth="1"/>
    <col min="4" max="8" width="15" customWidth="1"/>
  </cols>
  <sheetData>
    <row r="2" spans="2:8" ht="17.25" customHeight="1" x14ac:dyDescent="0.25">
      <c r="B2" s="1" t="s">
        <v>232</v>
      </c>
      <c r="C2" s="1"/>
      <c r="D2" s="1"/>
      <c r="E2" s="1"/>
      <c r="F2" s="1"/>
      <c r="G2" s="1"/>
      <c r="H2" s="1"/>
    </row>
    <row r="4" spans="2:8" ht="15" customHeight="1" x14ac:dyDescent="0.2">
      <c r="B4" s="51" t="s">
        <v>210</v>
      </c>
      <c r="D4" s="27" t="s">
        <v>211</v>
      </c>
      <c r="E4" s="27" t="s">
        <v>212</v>
      </c>
      <c r="F4" s="27" t="s">
        <v>213</v>
      </c>
      <c r="G4" s="27" t="s">
        <v>214</v>
      </c>
      <c r="H4" s="27" t="s">
        <v>215</v>
      </c>
    </row>
    <row r="5" spans="2:8" ht="15" customHeight="1" x14ac:dyDescent="0.2">
      <c r="B5" s="78" t="s">
        <v>233</v>
      </c>
      <c r="C5" s="78"/>
      <c r="D5" s="78"/>
      <c r="E5" s="78"/>
      <c r="F5" s="78"/>
      <c r="G5" s="78"/>
      <c r="H5" s="78"/>
    </row>
    <row r="6" spans="2:8" ht="15" customHeight="1" x14ac:dyDescent="0.2">
      <c r="B6" s="37" t="s">
        <v>234</v>
      </c>
      <c r="D6" s="58">
        <f>'Rollout Plan'!D10</f>
        <v>210</v>
      </c>
      <c r="E6" s="58">
        <f>'Rollout Plan'!E10</f>
        <v>528</v>
      </c>
      <c r="F6" s="58">
        <f>'Rollout Plan'!F10</f>
        <v>948</v>
      </c>
      <c r="G6" s="58">
        <f>'Rollout Plan'!G10</f>
        <v>1476</v>
      </c>
      <c r="H6" s="58">
        <f>'Rollout Plan'!H10</f>
        <v>2106</v>
      </c>
    </row>
    <row r="7" spans="2:8" ht="15" customHeight="1" x14ac:dyDescent="0.2">
      <c r="B7" s="37" t="s">
        <v>235</v>
      </c>
      <c r="D7" s="58">
        <f>'Rollout Plan'!D11</f>
        <v>120</v>
      </c>
      <c r="E7" s="58">
        <f>'Rollout Plan'!E11</f>
        <v>120</v>
      </c>
      <c r="F7" s="58">
        <f>'Rollout Plan'!F11</f>
        <v>120</v>
      </c>
      <c r="G7" s="58">
        <f>'Rollout Plan'!G11</f>
        <v>120</v>
      </c>
      <c r="H7" s="58">
        <f>'Rollout Plan'!H11</f>
        <v>120</v>
      </c>
    </row>
    <row r="8" spans="2:8" ht="15" customHeight="1" x14ac:dyDescent="0.2">
      <c r="B8" s="37" t="s">
        <v>236</v>
      </c>
      <c r="D8" s="59">
        <f>'Rollout Plan'!D21</f>
        <v>0.08</v>
      </c>
      <c r="E8" s="59">
        <f>'Rollout Plan'!E21</f>
        <v>0.105</v>
      </c>
      <c r="F8" s="59">
        <f>'Rollout Plan'!F21</f>
        <v>0.13</v>
      </c>
      <c r="G8" s="59">
        <f>'Rollout Plan'!G21</f>
        <v>0.155</v>
      </c>
      <c r="H8" s="59">
        <f>'Rollout Plan'!H21</f>
        <v>0.18</v>
      </c>
    </row>
    <row r="9" spans="2:8" ht="15" customHeight="1" x14ac:dyDescent="0.2">
      <c r="B9" s="36" t="s">
        <v>237</v>
      </c>
      <c r="D9" s="54">
        <f>D6*D7*24*365*D8/1000000</f>
        <v>17.660160000000001</v>
      </c>
      <c r="E9" s="54">
        <f>E6*E7*24*365*E8/1000000</f>
        <v>58.278528000000001</v>
      </c>
      <c r="F9" s="54">
        <f>F6*F7*24*365*F8/1000000</f>
        <v>129.54988800000001</v>
      </c>
      <c r="G9" s="54">
        <f>G6*G7*24*365*G8/1000000</f>
        <v>240.49353600000001</v>
      </c>
      <c r="H9" s="54">
        <f>H6*H7*24*365*H8/1000000</f>
        <v>398.48889600000001</v>
      </c>
    </row>
    <row r="10" spans="2:8" ht="15" customHeight="1" x14ac:dyDescent="0.2">
      <c r="B10" s="37" t="s">
        <v>238</v>
      </c>
      <c r="D10" s="52">
        <f>D9*1000000</f>
        <v>17660160</v>
      </c>
      <c r="E10" s="52">
        <f>E9*1000000</f>
        <v>58278528</v>
      </c>
      <c r="F10" s="52">
        <f>F9*1000000</f>
        <v>129549888.00000001</v>
      </c>
      <c r="G10" s="52">
        <f>G9*1000000</f>
        <v>240493536</v>
      </c>
      <c r="H10" s="52">
        <f>H9*1000000</f>
        <v>398488896</v>
      </c>
    </row>
    <row r="12" spans="2:8" ht="15" customHeight="1" x14ac:dyDescent="0.2">
      <c r="B12" s="78" t="s">
        <v>239</v>
      </c>
      <c r="C12" s="78"/>
      <c r="D12" s="78"/>
      <c r="E12" s="78"/>
      <c r="F12" s="78"/>
      <c r="G12" s="78"/>
      <c r="H12" s="78"/>
    </row>
    <row r="13" spans="2:8" ht="15" customHeight="1" x14ac:dyDescent="0.2">
      <c r="B13" s="37" t="s">
        <v>240</v>
      </c>
      <c r="D13" s="60">
        <f>Assumptions!$G$17+(Assumptions!$G$18-Assumptions!$G$17)*(0/4)</f>
        <v>10</v>
      </c>
      <c r="E13" s="60">
        <f>Assumptions!$G$17+(Assumptions!$G$18-Assumptions!$G$17)*(1/4)</f>
        <v>10.5</v>
      </c>
      <c r="F13" s="60">
        <f>Assumptions!$G$17+(Assumptions!$G$18-Assumptions!$G$17)*(2/4)</f>
        <v>11</v>
      </c>
      <c r="G13" s="60">
        <f>Assumptions!$G$17+(Assumptions!$G$18-Assumptions!$G$17)*(3/4)</f>
        <v>11.5</v>
      </c>
      <c r="H13" s="60">
        <f>Assumptions!$G$17+(Assumptions!$G$18-Assumptions!$G$17)*(4/4)</f>
        <v>12</v>
      </c>
    </row>
    <row r="14" spans="2:8" ht="15" customHeight="1" x14ac:dyDescent="0.2">
      <c r="B14" s="36" t="s">
        <v>241</v>
      </c>
      <c r="D14" s="61">
        <f>D10*D13/10000000</f>
        <v>17.660160000000001</v>
      </c>
      <c r="E14" s="61">
        <f>E10*E13/10000000</f>
        <v>61.192454400000003</v>
      </c>
      <c r="F14" s="61">
        <f>F10*F13/10000000</f>
        <v>142.50487680000003</v>
      </c>
      <c r="G14" s="61">
        <f>G10*G13/10000000</f>
        <v>276.56756639999998</v>
      </c>
      <c r="H14" s="61">
        <f>H10*H13/10000000</f>
        <v>478.18667520000002</v>
      </c>
    </row>
    <row r="16" spans="2:8" ht="15" customHeight="1" x14ac:dyDescent="0.2">
      <c r="B16" s="78" t="s">
        <v>242</v>
      </c>
      <c r="C16" s="78"/>
      <c r="D16" s="78"/>
      <c r="E16" s="78"/>
      <c r="F16" s="78"/>
      <c r="G16" s="78"/>
      <c r="H16" s="78"/>
    </row>
    <row r="17" spans="2:8" ht="15" customHeight="1" x14ac:dyDescent="0.2">
      <c r="B17" s="37" t="s">
        <v>243</v>
      </c>
      <c r="D17" s="62">
        <f>'Rollout Plan'!D17</f>
        <v>0.5</v>
      </c>
      <c r="E17" s="62">
        <f>'Rollout Plan'!E17</f>
        <v>3.5</v>
      </c>
      <c r="F17" s="62">
        <f>'Rollout Plan'!F17</f>
        <v>9.5</v>
      </c>
      <c r="G17" s="62">
        <f>'Rollout Plan'!G17</f>
        <v>19.5</v>
      </c>
      <c r="H17" s="62">
        <f>'Rollout Plan'!H17</f>
        <v>35</v>
      </c>
    </row>
    <row r="18" spans="2:8" ht="15" customHeight="1" x14ac:dyDescent="0.2">
      <c r="B18" s="37" t="s">
        <v>244</v>
      </c>
      <c r="D18" s="56">
        <f>D17*1000*Assumptions!$G$22*365/1000000</f>
        <v>0.27374999999999999</v>
      </c>
      <c r="E18" s="56">
        <f>E17*1000*Assumptions!$G$22*365/1000000</f>
        <v>1.91625</v>
      </c>
      <c r="F18" s="56">
        <f>F17*1000*Assumptions!$G$22*365/1000000</f>
        <v>5.2012499999999999</v>
      </c>
      <c r="G18" s="56">
        <f>G17*1000*Assumptions!$G$22*365/1000000</f>
        <v>10.67625</v>
      </c>
      <c r="H18" s="56">
        <f>H17*1000*Assumptions!$G$22*365/1000000</f>
        <v>19.162500000000001</v>
      </c>
    </row>
    <row r="19" spans="2:8" ht="15" customHeight="1" x14ac:dyDescent="0.2">
      <c r="B19" s="36" t="s">
        <v>245</v>
      </c>
      <c r="D19" s="61">
        <f>D18*1000000*Assumptions!$G$21/10000000</f>
        <v>5.475E-2</v>
      </c>
      <c r="E19" s="61">
        <f>E18*1000000*Assumptions!$G$21/10000000</f>
        <v>0.38324999999999998</v>
      </c>
      <c r="F19" s="61">
        <f>F18*1000000*Assumptions!$G$21/10000000</f>
        <v>1.0402499999999999</v>
      </c>
      <c r="G19" s="61">
        <f>G18*1000000*Assumptions!$G$21/10000000</f>
        <v>2.1352500000000001</v>
      </c>
      <c r="H19" s="61">
        <f>H18*1000000*Assumptions!$G$21/10000000</f>
        <v>3.8325</v>
      </c>
    </row>
    <row r="21" spans="2:8" ht="15" customHeight="1" x14ac:dyDescent="0.2">
      <c r="B21" s="78" t="s">
        <v>246</v>
      </c>
      <c r="C21" s="78"/>
      <c r="D21" s="78"/>
      <c r="E21" s="78"/>
      <c r="F21" s="78"/>
      <c r="G21" s="78"/>
      <c r="H21" s="78"/>
    </row>
    <row r="22" spans="2:8" ht="15" customHeight="1" x14ac:dyDescent="0.2">
      <c r="B22" s="37" t="s">
        <v>247</v>
      </c>
      <c r="D22" s="63">
        <f>D10*Assumptions!$G$19/10000000</f>
        <v>12.362112</v>
      </c>
      <c r="E22" s="63">
        <f>E10*Assumptions!$G$19/10000000</f>
        <v>40.794969600000002</v>
      </c>
      <c r="F22" s="63">
        <f>F10*Assumptions!$G$19/10000000</f>
        <v>90.68492160000001</v>
      </c>
      <c r="G22" s="63">
        <f>G10*Assumptions!$G$19/10000000</f>
        <v>168.34547520000001</v>
      </c>
      <c r="H22" s="63">
        <f>H10*Assumptions!$G$19/10000000</f>
        <v>278.94222719999999</v>
      </c>
    </row>
    <row r="23" spans="2:8" ht="15" customHeight="1" x14ac:dyDescent="0.2">
      <c r="B23" s="37" t="s">
        <v>248</v>
      </c>
      <c r="D23" s="63">
        <f>D14*0.18</f>
        <v>3.1788288000000002</v>
      </c>
      <c r="E23" s="63">
        <f>E14*0.18</f>
        <v>11.014641792000001</v>
      </c>
      <c r="F23" s="63">
        <f>F14*0.18</f>
        <v>25.650877824000005</v>
      </c>
      <c r="G23" s="63">
        <f>G14*0.18</f>
        <v>49.782161951999996</v>
      </c>
      <c r="H23" s="63">
        <f>H14*0.18</f>
        <v>86.073601535999998</v>
      </c>
    </row>
    <row r="25" spans="2:8" ht="15" customHeight="1" x14ac:dyDescent="0.2">
      <c r="B25" s="78" t="s">
        <v>249</v>
      </c>
      <c r="C25" s="78"/>
      <c r="D25" s="78"/>
      <c r="E25" s="78"/>
      <c r="F25" s="78"/>
      <c r="G25" s="78"/>
      <c r="H25" s="78"/>
    </row>
    <row r="26" spans="2:8" ht="15" customHeight="1" x14ac:dyDescent="0.2">
      <c r="B26" s="36" t="s">
        <v>250</v>
      </c>
      <c r="D26" s="61">
        <f>D14+D19</f>
        <v>17.71491</v>
      </c>
      <c r="E26" s="61">
        <f>E14+E19</f>
        <v>61.575704399999999</v>
      </c>
      <c r="F26" s="61">
        <f>F14+F19</f>
        <v>143.54512680000002</v>
      </c>
      <c r="G26" s="61">
        <f>G14+G19</f>
        <v>278.70281639999996</v>
      </c>
      <c r="H26" s="61">
        <f>H14+H19</f>
        <v>482.01917520000001</v>
      </c>
    </row>
    <row r="27" spans="2:8" ht="20.25" customHeight="1" x14ac:dyDescent="0.2">
      <c r="B27" s="8" t="s">
        <v>251</v>
      </c>
      <c r="C27" s="8"/>
      <c r="D27" s="8"/>
      <c r="E27" s="8"/>
      <c r="F27" s="8"/>
      <c r="G27" s="8"/>
      <c r="H27" s="8"/>
    </row>
  </sheetData>
  <mergeCells count="7">
    <mergeCell ref="B25:H25"/>
    <mergeCell ref="B27:H27"/>
    <mergeCell ref="B2:H2"/>
    <mergeCell ref="B5:H5"/>
    <mergeCell ref="B12:H12"/>
    <mergeCell ref="B16:H16"/>
    <mergeCell ref="B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25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46" customWidth="1"/>
    <col min="3" max="3" width="3" customWidth="1"/>
    <col min="4" max="8" width="15" customWidth="1"/>
  </cols>
  <sheetData>
    <row r="2" spans="2:8" ht="17.25" customHeight="1" x14ac:dyDescent="0.25">
      <c r="B2" s="1" t="s">
        <v>252</v>
      </c>
      <c r="C2" s="1"/>
      <c r="D2" s="1"/>
      <c r="E2" s="1"/>
      <c r="F2" s="1"/>
      <c r="G2" s="1"/>
      <c r="H2" s="1"/>
    </row>
    <row r="4" spans="2:8" ht="15" customHeight="1" x14ac:dyDescent="0.2">
      <c r="B4" s="51" t="s">
        <v>210</v>
      </c>
      <c r="D4" s="27" t="s">
        <v>211</v>
      </c>
      <c r="E4" s="27" t="s">
        <v>212</v>
      </c>
      <c r="F4" s="27" t="s">
        <v>213</v>
      </c>
      <c r="G4" s="27" t="s">
        <v>214</v>
      </c>
      <c r="H4" s="27" t="s">
        <v>215</v>
      </c>
    </row>
    <row r="5" spans="2:8" ht="15" customHeight="1" x14ac:dyDescent="0.2">
      <c r="B5" s="78" t="s">
        <v>253</v>
      </c>
      <c r="C5" s="78"/>
      <c r="D5" s="78"/>
      <c r="E5" s="78"/>
      <c r="F5" s="78"/>
      <c r="G5" s="78"/>
      <c r="H5" s="78"/>
    </row>
    <row r="6" spans="2:8" ht="15" customHeight="1" x14ac:dyDescent="0.2">
      <c r="B6" s="37" t="s">
        <v>254</v>
      </c>
      <c r="D6" s="64">
        <f>'Revenue Build'!D14</f>
        <v>17.660160000000001</v>
      </c>
      <c r="E6" s="64">
        <f>'Revenue Build'!E14</f>
        <v>61.192454400000003</v>
      </c>
      <c r="F6" s="64">
        <f>'Revenue Build'!F14</f>
        <v>142.50487680000003</v>
      </c>
      <c r="G6" s="64">
        <f>'Revenue Build'!G14</f>
        <v>276.56756639999998</v>
      </c>
      <c r="H6" s="64">
        <f>'Revenue Build'!H14</f>
        <v>478.18667520000002</v>
      </c>
    </row>
    <row r="7" spans="2:8" ht="15" customHeight="1" x14ac:dyDescent="0.2">
      <c r="B7" s="37" t="s">
        <v>255</v>
      </c>
      <c r="D7" s="64">
        <f>'Revenue Build'!D19</f>
        <v>5.475E-2</v>
      </c>
      <c r="E7" s="64">
        <f>'Revenue Build'!E19</f>
        <v>0.38324999999999998</v>
      </c>
      <c r="F7" s="64">
        <f>'Revenue Build'!F19</f>
        <v>1.0402499999999999</v>
      </c>
      <c r="G7" s="64">
        <f>'Revenue Build'!G19</f>
        <v>2.1352500000000001</v>
      </c>
      <c r="H7" s="64">
        <f>'Revenue Build'!H19</f>
        <v>3.8325</v>
      </c>
    </row>
    <row r="8" spans="2:8" ht="15" customHeight="1" x14ac:dyDescent="0.2">
      <c r="B8" s="36" t="s">
        <v>256</v>
      </c>
      <c r="D8" s="65">
        <f>'Revenue Build'!D26</f>
        <v>17.71491</v>
      </c>
      <c r="E8" s="65">
        <f>'Revenue Build'!E26</f>
        <v>61.575704399999999</v>
      </c>
      <c r="F8" s="65">
        <f>'Revenue Build'!F26</f>
        <v>143.54512680000002</v>
      </c>
      <c r="G8" s="65">
        <f>'Revenue Build'!G26</f>
        <v>278.70281639999996</v>
      </c>
      <c r="H8" s="65">
        <f>'Revenue Build'!H26</f>
        <v>482.01917520000001</v>
      </c>
    </row>
    <row r="10" spans="2:8" ht="15" customHeight="1" x14ac:dyDescent="0.2">
      <c r="B10" s="78" t="s">
        <v>257</v>
      </c>
      <c r="C10" s="78"/>
      <c r="D10" s="78"/>
      <c r="E10" s="78"/>
      <c r="F10" s="78"/>
      <c r="G10" s="78"/>
      <c r="H10" s="78"/>
    </row>
    <row r="11" spans="2:8" ht="15" customHeight="1" x14ac:dyDescent="0.2">
      <c r="B11" s="37" t="s">
        <v>258</v>
      </c>
      <c r="D11" s="58">
        <f>'Revenue Build'!D10</f>
        <v>17660160</v>
      </c>
      <c r="E11" s="58">
        <f>'Revenue Build'!E10</f>
        <v>58278528</v>
      </c>
      <c r="F11" s="58">
        <f>'Revenue Build'!F10</f>
        <v>129549888.00000001</v>
      </c>
      <c r="G11" s="58">
        <f>'Revenue Build'!G10</f>
        <v>240493536</v>
      </c>
      <c r="H11" s="58">
        <f>'Revenue Build'!H10</f>
        <v>398488896</v>
      </c>
    </row>
    <row r="12" spans="2:8" ht="15" customHeight="1" x14ac:dyDescent="0.2">
      <c r="B12" s="37" t="s">
        <v>259</v>
      </c>
      <c r="D12" s="64">
        <f>'Capex &amp; DA'!D25</f>
        <v>126.6</v>
      </c>
      <c r="E12" s="64">
        <f>'Capex &amp; DA'!E25</f>
        <v>321</v>
      </c>
      <c r="F12" s="64">
        <f>'Capex &amp; DA'!F25</f>
        <v>580.19999999999993</v>
      </c>
      <c r="G12" s="64">
        <f>'Capex &amp; DA'!G25</f>
        <v>908.99999999999989</v>
      </c>
      <c r="H12" s="64">
        <f>'Capex &amp; DA'!H25</f>
        <v>1305.5999999999999</v>
      </c>
    </row>
    <row r="13" spans="2:8" ht="15" customHeight="1" x14ac:dyDescent="0.2">
      <c r="B13" s="37" t="s">
        <v>260</v>
      </c>
      <c r="D13" s="58">
        <f>'Rollout Plan'!D8</f>
        <v>35</v>
      </c>
      <c r="E13" s="58">
        <f>'Rollout Plan'!E8</f>
        <v>88</v>
      </c>
      <c r="F13" s="58">
        <f>'Rollout Plan'!F8</f>
        <v>158</v>
      </c>
      <c r="G13" s="58">
        <f>'Rollout Plan'!G8</f>
        <v>246</v>
      </c>
      <c r="H13" s="58">
        <f>'Rollout Plan'!H8</f>
        <v>351</v>
      </c>
    </row>
    <row r="14" spans="2:8" ht="15" customHeight="1" x14ac:dyDescent="0.2">
      <c r="B14" s="37" t="s">
        <v>261</v>
      </c>
      <c r="D14" s="63">
        <f>D12*Assumptions!$G$33</f>
        <v>5.0640000000000001</v>
      </c>
      <c r="E14" s="63">
        <f>E12*Assumptions!$G$33</f>
        <v>12.84</v>
      </c>
      <c r="F14" s="63">
        <f>F12*Assumptions!$G$33</f>
        <v>23.207999999999998</v>
      </c>
      <c r="G14" s="63">
        <f>G12*Assumptions!$G$33</f>
        <v>36.36</v>
      </c>
      <c r="H14" s="63">
        <f>H12*Assumptions!$G$33</f>
        <v>52.223999999999997</v>
      </c>
    </row>
    <row r="15" spans="2:8" ht="15" customHeight="1" x14ac:dyDescent="0.2">
      <c r="B15" s="37" t="s">
        <v>262</v>
      </c>
      <c r="D15" s="63">
        <f>D12*Assumptions!$G$37</f>
        <v>0.63300000000000001</v>
      </c>
      <c r="E15" s="63">
        <f>E12*Assumptions!$G$37</f>
        <v>1.605</v>
      </c>
      <c r="F15" s="63">
        <f>F12*Assumptions!$G$37</f>
        <v>2.9009999999999998</v>
      </c>
      <c r="G15" s="63">
        <f>G12*Assumptions!$G$37</f>
        <v>4.5449999999999999</v>
      </c>
      <c r="H15" s="63">
        <f>H12*Assumptions!$G$37</f>
        <v>6.5279999999999996</v>
      </c>
    </row>
    <row r="16" spans="2:8" ht="15" customHeight="1" x14ac:dyDescent="0.2">
      <c r="B16" s="37" t="s">
        <v>263</v>
      </c>
      <c r="D16" s="63">
        <f>D13*Assumptions!$G$34/100</f>
        <v>6.3</v>
      </c>
      <c r="E16" s="63">
        <f>E13*Assumptions!$G$34/100</f>
        <v>15.84</v>
      </c>
      <c r="F16" s="63">
        <f>F13*Assumptions!$G$34/100</f>
        <v>28.44</v>
      </c>
      <c r="G16" s="63">
        <f>G13*Assumptions!$G$34/100</f>
        <v>44.28</v>
      </c>
      <c r="H16" s="63">
        <f>H13*Assumptions!$G$34/100</f>
        <v>63.18</v>
      </c>
    </row>
    <row r="17" spans="2:8" ht="15" customHeight="1" x14ac:dyDescent="0.2">
      <c r="B17" s="37" t="s">
        <v>264</v>
      </c>
      <c r="D17" s="63">
        <f>D11*Assumptions!$G$35/10000000</f>
        <v>1.3245119999999999</v>
      </c>
      <c r="E17" s="63">
        <f>E11*Assumptions!$G$35/10000000</f>
        <v>4.3708895999999999</v>
      </c>
      <c r="F17" s="63">
        <f>F11*Assumptions!$G$35/10000000</f>
        <v>9.7162416000000018</v>
      </c>
      <c r="G17" s="63">
        <f>G11*Assumptions!$G$35/10000000</f>
        <v>18.037015199999999</v>
      </c>
      <c r="H17" s="63">
        <f>H11*Assumptions!$G$35/10000000</f>
        <v>29.886667200000002</v>
      </c>
    </row>
    <row r="18" spans="2:8" ht="15" customHeight="1" x14ac:dyDescent="0.2">
      <c r="B18" s="37" t="s">
        <v>265</v>
      </c>
      <c r="D18" s="63">
        <f>D11*Assumptions!$G$20/10000000</f>
        <v>1.766016</v>
      </c>
      <c r="E18" s="63">
        <f>E11*Assumptions!$G$20/10000000</f>
        <v>5.8278527999999996</v>
      </c>
      <c r="F18" s="63">
        <f>F11*Assumptions!$G$20/10000000</f>
        <v>12.954988800000001</v>
      </c>
      <c r="G18" s="63">
        <f>G11*Assumptions!$G$20/10000000</f>
        <v>24.0493536</v>
      </c>
      <c r="H18" s="63">
        <f>H11*Assumptions!$G$20/10000000</f>
        <v>39.8488896</v>
      </c>
    </row>
    <row r="19" spans="2:8" ht="15" customHeight="1" x14ac:dyDescent="0.2">
      <c r="B19" s="37" t="s">
        <v>266</v>
      </c>
      <c r="D19" s="63">
        <f>D6*Assumptions!$G$36</f>
        <v>1.4128128000000002</v>
      </c>
      <c r="E19" s="63">
        <f>E6*Assumptions!$G$36</f>
        <v>4.8953963520000006</v>
      </c>
      <c r="F19" s="63">
        <f>F6*Assumptions!$G$36</f>
        <v>11.400390144000003</v>
      </c>
      <c r="G19" s="63">
        <f>G6*Assumptions!$G$36</f>
        <v>22.125405311999998</v>
      </c>
      <c r="H19" s="63">
        <f>H6*Assumptions!$G$36</f>
        <v>38.254934016</v>
      </c>
    </row>
    <row r="20" spans="2:8" ht="15" customHeight="1" x14ac:dyDescent="0.2">
      <c r="B20" s="36" t="s">
        <v>267</v>
      </c>
      <c r="D20" s="61">
        <f>D14+D15+D16+D17+D18+D19</f>
        <v>16.5003408</v>
      </c>
      <c r="E20" s="61">
        <f>E14+E15+E16+E17+E18+E19</f>
        <v>45.379138752000003</v>
      </c>
      <c r="F20" s="61">
        <f>F14+F15+F16+F17+F18+F19</f>
        <v>88.620620543999991</v>
      </c>
      <c r="G20" s="61">
        <f>G14+G15+G16+G17+G18+G19</f>
        <v>149.396774112</v>
      </c>
      <c r="H20" s="61">
        <f>H14+H15+H16+H17+H18+H19</f>
        <v>229.92249081599999</v>
      </c>
    </row>
    <row r="22" spans="2:8" ht="15" customHeight="1" x14ac:dyDescent="0.2">
      <c r="B22" s="78" t="s">
        <v>50</v>
      </c>
      <c r="C22" s="78"/>
      <c r="D22" s="78"/>
      <c r="E22" s="78"/>
      <c r="F22" s="78"/>
      <c r="G22" s="78"/>
      <c r="H22" s="78"/>
    </row>
    <row r="23" spans="2:8" ht="15" customHeight="1" x14ac:dyDescent="0.2">
      <c r="B23" s="36" t="s">
        <v>268</v>
      </c>
      <c r="D23" s="61">
        <f>D8-D20</f>
        <v>1.2145691999999997</v>
      </c>
      <c r="E23" s="61">
        <f>E8-E20</f>
        <v>16.196565647999996</v>
      </c>
      <c r="F23" s="61">
        <f>F8-F20</f>
        <v>54.924506256000029</v>
      </c>
      <c r="G23" s="61">
        <f>G8-G20</f>
        <v>129.30604228799996</v>
      </c>
      <c r="H23" s="61">
        <f>H8-H20</f>
        <v>252.09668438400001</v>
      </c>
    </row>
    <row r="24" spans="2:8" ht="15" customHeight="1" x14ac:dyDescent="0.2">
      <c r="B24" s="37" t="s">
        <v>269</v>
      </c>
      <c r="D24" s="55">
        <f>IF(D8=0,0,D23/D8)</f>
        <v>6.8561974065913953E-2</v>
      </c>
      <c r="E24" s="55">
        <f>IF(E8=0,0,E23/E8)</f>
        <v>0.26303500391625234</v>
      </c>
      <c r="F24" s="55">
        <f>IF(F8=0,0,F23/F8)</f>
        <v>0.38262884627581811</v>
      </c>
      <c r="G24" s="55">
        <f>IF(G8=0,0,G23/G8)</f>
        <v>0.46395671187770593</v>
      </c>
      <c r="H24" s="55">
        <f>IF(H8=0,0,H23/H8)</f>
        <v>0.52300136043218559</v>
      </c>
    </row>
    <row r="25" spans="2:8" ht="20.25" customHeight="1" x14ac:dyDescent="0.2">
      <c r="B25" s="8" t="s">
        <v>270</v>
      </c>
      <c r="C25" s="8"/>
      <c r="D25" s="8"/>
      <c r="E25" s="8"/>
      <c r="F25" s="8"/>
      <c r="G25" s="8"/>
      <c r="H25" s="8"/>
    </row>
  </sheetData>
  <mergeCells count="5">
    <mergeCell ref="B2:H2"/>
    <mergeCell ref="B5:H5"/>
    <mergeCell ref="B10:H10"/>
    <mergeCell ref="B22:H22"/>
    <mergeCell ref="B25:H2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31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46" customWidth="1"/>
    <col min="3" max="3" width="3" customWidth="1"/>
    <col min="4" max="8" width="15" customWidth="1"/>
  </cols>
  <sheetData>
    <row r="2" spans="2:8" ht="17.25" customHeight="1" x14ac:dyDescent="0.25">
      <c r="B2" s="1" t="s">
        <v>271</v>
      </c>
      <c r="C2" s="1"/>
      <c r="D2" s="1"/>
      <c r="E2" s="1"/>
      <c r="F2" s="1"/>
      <c r="G2" s="1"/>
      <c r="H2" s="1"/>
    </row>
    <row r="4" spans="2:8" ht="15" customHeight="1" x14ac:dyDescent="0.2">
      <c r="B4" s="51" t="s">
        <v>210</v>
      </c>
      <c r="D4" s="27" t="s">
        <v>211</v>
      </c>
      <c r="E4" s="27" t="s">
        <v>212</v>
      </c>
      <c r="F4" s="27" t="s">
        <v>213</v>
      </c>
      <c r="G4" s="27" t="s">
        <v>214</v>
      </c>
      <c r="H4" s="27" t="s">
        <v>215</v>
      </c>
    </row>
    <row r="5" spans="2:8" ht="15" customHeight="1" x14ac:dyDescent="0.2">
      <c r="B5" s="78" t="s">
        <v>272</v>
      </c>
      <c r="C5" s="78"/>
      <c r="D5" s="78"/>
      <c r="E5" s="78"/>
      <c r="F5" s="78"/>
      <c r="G5" s="78"/>
      <c r="H5" s="78"/>
    </row>
    <row r="6" spans="2:8" ht="15" customHeight="1" x14ac:dyDescent="0.2">
      <c r="B6" s="37" t="s">
        <v>273</v>
      </c>
      <c r="D6" s="58">
        <f>'Rollout Plan'!D9</f>
        <v>210</v>
      </c>
      <c r="E6" s="58">
        <f>'Rollout Plan'!E9</f>
        <v>318</v>
      </c>
      <c r="F6" s="58">
        <f>'Rollout Plan'!F9</f>
        <v>420</v>
      </c>
      <c r="G6" s="58">
        <f>'Rollout Plan'!G9</f>
        <v>528</v>
      </c>
      <c r="H6" s="58">
        <f>'Rollout Plan'!H9</f>
        <v>630</v>
      </c>
    </row>
    <row r="7" spans="2:8" ht="15" customHeight="1" x14ac:dyDescent="0.2">
      <c r="B7" s="37" t="s">
        <v>274</v>
      </c>
      <c r="D7" s="58">
        <f>'Rollout Plan'!D7</f>
        <v>35</v>
      </c>
      <c r="E7" s="58">
        <f>'Rollout Plan'!E7</f>
        <v>53</v>
      </c>
      <c r="F7" s="58">
        <f>'Rollout Plan'!F7</f>
        <v>70</v>
      </c>
      <c r="G7" s="58">
        <f>'Rollout Plan'!G7</f>
        <v>88</v>
      </c>
      <c r="H7" s="58">
        <f>'Rollout Plan'!H7</f>
        <v>105</v>
      </c>
    </row>
    <row r="8" spans="2:8" ht="15" customHeight="1" x14ac:dyDescent="0.2">
      <c r="B8" s="37" t="s">
        <v>275</v>
      </c>
      <c r="D8" s="62">
        <f>'Rollout Plan'!D18</f>
        <v>0.5</v>
      </c>
      <c r="E8" s="62">
        <f>'Rollout Plan'!E18</f>
        <v>3</v>
      </c>
      <c r="F8" s="62">
        <f>'Rollout Plan'!F18</f>
        <v>6</v>
      </c>
      <c r="G8" s="62">
        <f>'Rollout Plan'!G18</f>
        <v>10</v>
      </c>
      <c r="H8" s="62">
        <f>'Rollout Plan'!H18</f>
        <v>15.5</v>
      </c>
    </row>
    <row r="9" spans="2:8" ht="15" customHeight="1" x14ac:dyDescent="0.2">
      <c r="B9" s="37" t="s">
        <v>276</v>
      </c>
      <c r="D9" s="63">
        <f>D6*Assumptions!$G$24/100</f>
        <v>63</v>
      </c>
      <c r="E9" s="63">
        <f>E6*Assumptions!$G$24/100</f>
        <v>95.4</v>
      </c>
      <c r="F9" s="63">
        <f>F6*Assumptions!$G$24/100</f>
        <v>126</v>
      </c>
      <c r="G9" s="63">
        <f>G6*Assumptions!$G$24/100</f>
        <v>158.4</v>
      </c>
      <c r="H9" s="63">
        <f>H6*Assumptions!$G$24/100</f>
        <v>189</v>
      </c>
    </row>
    <row r="10" spans="2:8" ht="15" customHeight="1" x14ac:dyDescent="0.2">
      <c r="B10" s="37" t="s">
        <v>277</v>
      </c>
      <c r="D10" s="63">
        <f>D6*Assumptions!$G$25/100</f>
        <v>42</v>
      </c>
      <c r="E10" s="63">
        <f>E6*Assumptions!$G$25/100</f>
        <v>63.6</v>
      </c>
      <c r="F10" s="63">
        <f>F6*Assumptions!$G$25/100</f>
        <v>84</v>
      </c>
      <c r="G10" s="63">
        <f>G6*Assumptions!$G$25/100</f>
        <v>105.6</v>
      </c>
      <c r="H10" s="63">
        <f>H6*Assumptions!$G$25/100</f>
        <v>126</v>
      </c>
    </row>
    <row r="11" spans="2:8" ht="15" customHeight="1" x14ac:dyDescent="0.2">
      <c r="B11" s="37" t="s">
        <v>278</v>
      </c>
      <c r="D11" s="63">
        <f>D7*Assumptions!$G$26/100</f>
        <v>21</v>
      </c>
      <c r="E11" s="63">
        <f>E7*Assumptions!$G$26/100</f>
        <v>31.8</v>
      </c>
      <c r="F11" s="63">
        <f>F7*Assumptions!$G$26/100</f>
        <v>42</v>
      </c>
      <c r="G11" s="63">
        <f>G7*Assumptions!$G$26/100</f>
        <v>52.8</v>
      </c>
      <c r="H11" s="63">
        <f>H7*Assumptions!$G$26/100</f>
        <v>63</v>
      </c>
    </row>
    <row r="12" spans="2:8" ht="15" customHeight="1" x14ac:dyDescent="0.2">
      <c r="B12" s="37" t="s">
        <v>279</v>
      </c>
      <c r="D12" s="63">
        <f>D8*Assumptions!$G$27</f>
        <v>0.6</v>
      </c>
      <c r="E12" s="63">
        <f>E8*Assumptions!$G$27</f>
        <v>3.5999999999999996</v>
      </c>
      <c r="F12" s="63">
        <f>F8*Assumptions!$G$27</f>
        <v>7.1999999999999993</v>
      </c>
      <c r="G12" s="63">
        <f>G8*Assumptions!$G$27</f>
        <v>12</v>
      </c>
      <c r="H12" s="63">
        <f>H8*Assumptions!$G$27</f>
        <v>18.599999999999998</v>
      </c>
    </row>
    <row r="13" spans="2:8" ht="15" customHeight="1" x14ac:dyDescent="0.2">
      <c r="B13" s="36" t="s">
        <v>280</v>
      </c>
      <c r="D13" s="61">
        <f>D9+D10+D11</f>
        <v>126</v>
      </c>
      <c r="E13" s="61">
        <f>E9+E10+E11</f>
        <v>190.8</v>
      </c>
      <c r="F13" s="61">
        <f>F9+F10+F11</f>
        <v>252</v>
      </c>
      <c r="G13" s="61">
        <f>G9+G10+G11</f>
        <v>316.8</v>
      </c>
      <c r="H13" s="61">
        <f>H9+H10+H11</f>
        <v>378</v>
      </c>
    </row>
    <row r="14" spans="2:8" ht="15" customHeight="1" x14ac:dyDescent="0.2">
      <c r="B14" s="36" t="s">
        <v>281</v>
      </c>
      <c r="D14" s="61">
        <f>D13+D12</f>
        <v>126.6</v>
      </c>
      <c r="E14" s="61">
        <f>E13+E12</f>
        <v>194.4</v>
      </c>
      <c r="F14" s="61">
        <f>F13+F12</f>
        <v>259.2</v>
      </c>
      <c r="G14" s="61">
        <f>G13+G12</f>
        <v>328.8</v>
      </c>
      <c r="H14" s="61">
        <f>H13+H12</f>
        <v>396.6</v>
      </c>
    </row>
    <row r="16" spans="2:8" ht="15" customHeight="1" x14ac:dyDescent="0.2">
      <c r="B16" s="78" t="s">
        <v>282</v>
      </c>
      <c r="C16" s="78"/>
      <c r="D16" s="78"/>
      <c r="E16" s="78"/>
      <c r="F16" s="78"/>
      <c r="G16" s="78"/>
      <c r="H16" s="78"/>
    </row>
    <row r="17" spans="2:8" ht="15" customHeight="1" x14ac:dyDescent="0.2">
      <c r="B17" s="37" t="s">
        <v>283</v>
      </c>
      <c r="D17" s="63">
        <f>D9*Assumptions!$G$29*Assumptions!$G$30</f>
        <v>11.024999999999999</v>
      </c>
      <c r="E17" s="63">
        <f>E9*Assumptions!$G$29*Assumptions!$G$30</f>
        <v>16.695</v>
      </c>
      <c r="F17" s="63">
        <f>F9*Assumptions!$G$29*Assumptions!$G$30</f>
        <v>22.049999999999997</v>
      </c>
      <c r="G17" s="63">
        <f>G9*Assumptions!$G$29*Assumptions!$G$30</f>
        <v>27.72</v>
      </c>
      <c r="H17" s="63">
        <f>H9*Assumptions!$G$29*Assumptions!$G$30</f>
        <v>33.074999999999996</v>
      </c>
    </row>
    <row r="18" spans="2:8" ht="15" customHeight="1" x14ac:dyDescent="0.2">
      <c r="B18" s="37" t="s">
        <v>284</v>
      </c>
      <c r="D18" s="63">
        <f>D10*Assumptions!$G$29*Assumptions!$G$31</f>
        <v>8.4</v>
      </c>
      <c r="E18" s="63">
        <f>E10*Assumptions!$G$29*Assumptions!$G$31</f>
        <v>12.72</v>
      </c>
      <c r="F18" s="63">
        <f>F10*Assumptions!$G$29*Assumptions!$G$31</f>
        <v>16.8</v>
      </c>
      <c r="G18" s="63">
        <f>G10*Assumptions!$G$29*Assumptions!$G$31</f>
        <v>21.12</v>
      </c>
      <c r="H18" s="63">
        <f>H10*Assumptions!$G$29*Assumptions!$G$31</f>
        <v>25.200000000000003</v>
      </c>
    </row>
    <row r="19" spans="2:8" ht="15" customHeight="1" x14ac:dyDescent="0.2">
      <c r="B19" s="36" t="s">
        <v>285</v>
      </c>
      <c r="D19" s="61">
        <f>D17+D18</f>
        <v>19.424999999999997</v>
      </c>
      <c r="E19" s="61">
        <f>E17+E18</f>
        <v>29.414999999999999</v>
      </c>
      <c r="F19" s="61">
        <f>F17+F18</f>
        <v>38.849999999999994</v>
      </c>
      <c r="G19" s="61">
        <f>G17+G18</f>
        <v>48.84</v>
      </c>
      <c r="H19" s="61">
        <f>H17+H18</f>
        <v>58.274999999999999</v>
      </c>
    </row>
    <row r="20" spans="2:8" ht="15" customHeight="1" x14ac:dyDescent="0.2">
      <c r="B20" s="36" t="s">
        <v>286</v>
      </c>
      <c r="D20" s="61">
        <f>D14-D19</f>
        <v>107.175</v>
      </c>
      <c r="E20" s="61">
        <f>E14-E19</f>
        <v>164.98500000000001</v>
      </c>
      <c r="F20" s="61">
        <f>F14-F19</f>
        <v>220.35</v>
      </c>
      <c r="G20" s="61">
        <f>G14-G19</f>
        <v>279.96000000000004</v>
      </c>
      <c r="H20" s="61">
        <f>H14-H19</f>
        <v>338.32500000000005</v>
      </c>
    </row>
    <row r="22" spans="2:8" ht="15" customHeight="1" x14ac:dyDescent="0.2">
      <c r="B22" s="78" t="s">
        <v>287</v>
      </c>
      <c r="C22" s="78"/>
      <c r="D22" s="78"/>
      <c r="E22" s="78"/>
      <c r="F22" s="78"/>
      <c r="G22" s="78"/>
      <c r="H22" s="78"/>
    </row>
    <row r="23" spans="2:8" ht="15" customHeight="1" x14ac:dyDescent="0.2">
      <c r="B23" s="37" t="s">
        <v>288</v>
      </c>
      <c r="D23" s="63">
        <f>D13</f>
        <v>126</v>
      </c>
      <c r="E23" s="63">
        <f>D23+E13</f>
        <v>316.8</v>
      </c>
      <c r="F23" s="63">
        <f>E23+F13</f>
        <v>568.79999999999995</v>
      </c>
      <c r="G23" s="63">
        <f>F23+G13</f>
        <v>885.59999999999991</v>
      </c>
      <c r="H23" s="63">
        <f>G23+H13</f>
        <v>1263.5999999999999</v>
      </c>
    </row>
    <row r="24" spans="2:8" ht="15" customHeight="1" x14ac:dyDescent="0.2">
      <c r="B24" s="37" t="s">
        <v>289</v>
      </c>
      <c r="D24" s="63">
        <f>D12</f>
        <v>0.6</v>
      </c>
      <c r="E24" s="63">
        <f>D24+E12</f>
        <v>4.1999999999999993</v>
      </c>
      <c r="F24" s="63">
        <f>E24+F12</f>
        <v>11.399999999999999</v>
      </c>
      <c r="G24" s="63">
        <f>F24+G12</f>
        <v>23.4</v>
      </c>
      <c r="H24" s="63">
        <f>G24+H12</f>
        <v>42</v>
      </c>
    </row>
    <row r="25" spans="2:8" ht="15" customHeight="1" x14ac:dyDescent="0.2">
      <c r="B25" s="36" t="s">
        <v>290</v>
      </c>
      <c r="D25" s="61">
        <f>D23+D24</f>
        <v>126.6</v>
      </c>
      <c r="E25" s="61">
        <f>E23+E24</f>
        <v>321</v>
      </c>
      <c r="F25" s="61">
        <f>F23+F24</f>
        <v>580.19999999999993</v>
      </c>
      <c r="G25" s="61">
        <f>G23+G24</f>
        <v>908.99999999999989</v>
      </c>
      <c r="H25" s="61">
        <f>H23+H24</f>
        <v>1305.5999999999999</v>
      </c>
    </row>
    <row r="27" spans="2:8" ht="15" customHeight="1" x14ac:dyDescent="0.2">
      <c r="B27" s="78" t="s">
        <v>291</v>
      </c>
      <c r="C27" s="78"/>
      <c r="D27" s="78"/>
      <c r="E27" s="78"/>
      <c r="F27" s="78"/>
      <c r="G27" s="78"/>
      <c r="H27" s="78"/>
    </row>
    <row r="28" spans="2:8" ht="15" customHeight="1" x14ac:dyDescent="0.2">
      <c r="B28" s="37" t="s">
        <v>292</v>
      </c>
      <c r="D28" s="63">
        <f>D23/Assumptions!$G$41</f>
        <v>12.6</v>
      </c>
      <c r="E28" s="63">
        <f>E23/Assumptions!$G$41</f>
        <v>31.68</v>
      </c>
      <c r="F28" s="63">
        <f>F23/Assumptions!$G$41</f>
        <v>56.879999999999995</v>
      </c>
      <c r="G28" s="63">
        <f>G23/Assumptions!$G$41</f>
        <v>88.559999999999988</v>
      </c>
      <c r="H28" s="63">
        <f>H23/Assumptions!$G$41</f>
        <v>126.35999999999999</v>
      </c>
    </row>
    <row r="29" spans="2:8" ht="15" customHeight="1" x14ac:dyDescent="0.2">
      <c r="B29" s="37" t="s">
        <v>293</v>
      </c>
      <c r="D29" s="63">
        <f>D24/Assumptions!$G$42</f>
        <v>7.4999999999999997E-2</v>
      </c>
      <c r="E29" s="63">
        <f>E24/Assumptions!$G$42</f>
        <v>0.52499999999999991</v>
      </c>
      <c r="F29" s="63">
        <f>F24/Assumptions!$G$42</f>
        <v>1.4249999999999998</v>
      </c>
      <c r="G29" s="63">
        <f>G24/Assumptions!$G$42</f>
        <v>2.9249999999999998</v>
      </c>
      <c r="H29" s="63">
        <f>H24/Assumptions!$G$42</f>
        <v>5.25</v>
      </c>
    </row>
    <row r="30" spans="2:8" ht="15" customHeight="1" x14ac:dyDescent="0.2">
      <c r="B30" s="36" t="s">
        <v>294</v>
      </c>
      <c r="D30" s="61">
        <f>D28+D29</f>
        <v>12.674999999999999</v>
      </c>
      <c r="E30" s="61">
        <f>E28+E29</f>
        <v>32.204999999999998</v>
      </c>
      <c r="F30" s="61">
        <f>F28+F29</f>
        <v>58.304999999999993</v>
      </c>
      <c r="G30" s="61">
        <f>G28+G29</f>
        <v>91.484999999999985</v>
      </c>
      <c r="H30" s="61">
        <f>H28+H29</f>
        <v>131.60999999999999</v>
      </c>
    </row>
    <row r="31" spans="2:8" ht="20.25" customHeight="1" x14ac:dyDescent="0.2">
      <c r="B31" s="8" t="s">
        <v>295</v>
      </c>
      <c r="C31" s="8"/>
      <c r="D31" s="8"/>
      <c r="E31" s="8"/>
      <c r="F31" s="8"/>
      <c r="G31" s="8"/>
      <c r="H31" s="8"/>
    </row>
  </sheetData>
  <mergeCells count="6">
    <mergeCell ref="B31:H31"/>
    <mergeCell ref="B2:H2"/>
    <mergeCell ref="B5:H5"/>
    <mergeCell ref="B16:H16"/>
    <mergeCell ref="B22:H22"/>
    <mergeCell ref="B27:H2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21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46" customWidth="1"/>
    <col min="3" max="3" width="3" customWidth="1"/>
    <col min="4" max="8" width="15" customWidth="1"/>
  </cols>
  <sheetData>
    <row r="2" spans="2:8" ht="17.25" customHeight="1" x14ac:dyDescent="0.25">
      <c r="B2" s="1" t="s">
        <v>296</v>
      </c>
      <c r="C2" s="1"/>
      <c r="D2" s="1"/>
      <c r="E2" s="1"/>
      <c r="F2" s="1"/>
      <c r="G2" s="1"/>
      <c r="H2" s="1"/>
    </row>
    <row r="4" spans="2:8" ht="15" customHeight="1" x14ac:dyDescent="0.2">
      <c r="B4" s="51" t="s">
        <v>210</v>
      </c>
      <c r="D4" s="27" t="s">
        <v>211</v>
      </c>
      <c r="E4" s="27" t="s">
        <v>212</v>
      </c>
      <c r="F4" s="27" t="s">
        <v>213</v>
      </c>
      <c r="G4" s="27" t="s">
        <v>214</v>
      </c>
      <c r="H4" s="27" t="s">
        <v>215</v>
      </c>
    </row>
    <row r="5" spans="2:8" ht="15" customHeight="1" x14ac:dyDescent="0.2">
      <c r="B5" s="78" t="s">
        <v>297</v>
      </c>
      <c r="C5" s="78"/>
      <c r="D5" s="78"/>
      <c r="E5" s="78"/>
      <c r="F5" s="78"/>
      <c r="G5" s="78"/>
      <c r="H5" s="78"/>
    </row>
    <row r="6" spans="2:8" ht="15" customHeight="1" x14ac:dyDescent="0.2">
      <c r="B6" s="37" t="s">
        <v>298</v>
      </c>
      <c r="D6" s="64">
        <f>'Opex &amp; EBITDA'!D23</f>
        <v>1.2145691999999997</v>
      </c>
      <c r="E6" s="64">
        <f>'Opex &amp; EBITDA'!E23</f>
        <v>16.196565647999996</v>
      </c>
      <c r="F6" s="64">
        <f>'Opex &amp; EBITDA'!F23</f>
        <v>54.924506256000029</v>
      </c>
      <c r="G6" s="64">
        <f>'Opex &amp; EBITDA'!G23</f>
        <v>129.30604228799996</v>
      </c>
      <c r="H6" s="64">
        <f>'Opex &amp; EBITDA'!H23</f>
        <v>252.09668438400001</v>
      </c>
    </row>
    <row r="7" spans="2:8" ht="15" customHeight="1" x14ac:dyDescent="0.2">
      <c r="B7" s="37" t="s">
        <v>299</v>
      </c>
      <c r="D7" s="64">
        <f>'Capex &amp; DA'!D30</f>
        <v>12.674999999999999</v>
      </c>
      <c r="E7" s="64">
        <f>'Capex &amp; DA'!E30</f>
        <v>32.204999999999998</v>
      </c>
      <c r="F7" s="64">
        <f>'Capex &amp; DA'!F30</f>
        <v>58.304999999999993</v>
      </c>
      <c r="G7" s="64">
        <f>'Capex &amp; DA'!G30</f>
        <v>91.484999999999985</v>
      </c>
      <c r="H7" s="64">
        <f>'Capex &amp; DA'!H30</f>
        <v>131.60999999999999</v>
      </c>
    </row>
    <row r="8" spans="2:8" ht="15" customHeight="1" x14ac:dyDescent="0.2">
      <c r="B8" s="36" t="s">
        <v>300</v>
      </c>
      <c r="D8" s="61">
        <f>D6-D7</f>
        <v>-11.460430799999999</v>
      </c>
      <c r="E8" s="61">
        <f>E6-E7</f>
        <v>-16.008434352000002</v>
      </c>
      <c r="F8" s="61">
        <f>F6-F7</f>
        <v>-3.3804937439999634</v>
      </c>
      <c r="G8" s="61">
        <f>G6-G7</f>
        <v>37.821042287999973</v>
      </c>
      <c r="H8" s="61">
        <f>H6-H7</f>
        <v>120.48668438400003</v>
      </c>
    </row>
    <row r="9" spans="2:8" ht="15" customHeight="1" x14ac:dyDescent="0.2">
      <c r="B9" s="37" t="s">
        <v>301</v>
      </c>
      <c r="D9" s="63">
        <f>MAX(D8,0)*Assumptions!$G$40</f>
        <v>0</v>
      </c>
      <c r="E9" s="63">
        <f>MAX(E8,0)*Assumptions!$G$40</f>
        <v>0</v>
      </c>
      <c r="F9" s="63">
        <f>MAX(F8,0)*Assumptions!$G$40</f>
        <v>0</v>
      </c>
      <c r="G9" s="63">
        <f>MAX(G8,0)*Assumptions!$G$40</f>
        <v>9.519556343889592</v>
      </c>
      <c r="H9" s="63">
        <f>MAX(H8,0)*Assumptions!$G$40</f>
        <v>30.326498459452804</v>
      </c>
    </row>
    <row r="10" spans="2:8" ht="15" customHeight="1" x14ac:dyDescent="0.2">
      <c r="B10" s="36" t="s">
        <v>302</v>
      </c>
      <c r="D10" s="61">
        <f>D8-D9</f>
        <v>-11.460430799999999</v>
      </c>
      <c r="E10" s="61">
        <f>E8-E9</f>
        <v>-16.008434352000002</v>
      </c>
      <c r="F10" s="61">
        <f>F8-F9</f>
        <v>-3.3804937439999634</v>
      </c>
      <c r="G10" s="61">
        <f>G8-G9</f>
        <v>28.301485944110382</v>
      </c>
      <c r="H10" s="61">
        <f>H8-H9</f>
        <v>90.160185924547221</v>
      </c>
    </row>
    <row r="12" spans="2:8" ht="15" customHeight="1" x14ac:dyDescent="0.2">
      <c r="B12" s="78" t="s">
        <v>303</v>
      </c>
      <c r="C12" s="78"/>
      <c r="D12" s="78"/>
      <c r="E12" s="78"/>
      <c r="F12" s="78"/>
      <c r="G12" s="78"/>
      <c r="H12" s="78"/>
    </row>
    <row r="13" spans="2:8" ht="15" customHeight="1" x14ac:dyDescent="0.2">
      <c r="B13" s="37" t="s">
        <v>304</v>
      </c>
      <c r="D13" s="64">
        <f>'Opex &amp; EBITDA'!D8</f>
        <v>17.71491</v>
      </c>
      <c r="E13" s="64">
        <f>'Opex &amp; EBITDA'!E8</f>
        <v>61.575704399999999</v>
      </c>
      <c r="F13" s="64">
        <f>'Opex &amp; EBITDA'!F8</f>
        <v>143.54512680000002</v>
      </c>
      <c r="G13" s="64">
        <f>'Opex &amp; EBITDA'!G8</f>
        <v>278.70281639999996</v>
      </c>
      <c r="H13" s="64">
        <f>'Opex &amp; EBITDA'!H8</f>
        <v>482.01917520000001</v>
      </c>
    </row>
    <row r="14" spans="2:8" ht="15" customHeight="1" x14ac:dyDescent="0.2">
      <c r="B14" s="37" t="s">
        <v>305</v>
      </c>
      <c r="D14" s="63">
        <f>D13*Assumptions!$G$39</f>
        <v>0.70859640000000002</v>
      </c>
      <c r="E14" s="63">
        <f>E13*Assumptions!$G$39</f>
        <v>2.4630281759999999</v>
      </c>
      <c r="F14" s="63">
        <f>F13*Assumptions!$G$39</f>
        <v>5.7418050720000009</v>
      </c>
      <c r="G14" s="63">
        <f>G13*Assumptions!$G$39</f>
        <v>11.148112655999999</v>
      </c>
      <c r="H14" s="63">
        <f>H13*Assumptions!$G$39</f>
        <v>19.280767008000002</v>
      </c>
    </row>
    <row r="15" spans="2:8" ht="15" customHeight="1" x14ac:dyDescent="0.2">
      <c r="B15" s="37" t="s">
        <v>306</v>
      </c>
      <c r="D15" s="63">
        <f>D14</f>
        <v>0.70859640000000002</v>
      </c>
      <c r="E15" s="63">
        <f>E14-D14</f>
        <v>1.7544317759999999</v>
      </c>
      <c r="F15" s="63">
        <f>F14-E14</f>
        <v>3.278776896000001</v>
      </c>
      <c r="G15" s="63">
        <f>G14-F14</f>
        <v>5.4063075839999977</v>
      </c>
      <c r="H15" s="63">
        <f>H14-G14</f>
        <v>8.132654352000003</v>
      </c>
    </row>
    <row r="17" spans="2:8" ht="15" customHeight="1" x14ac:dyDescent="0.2">
      <c r="B17" s="78" t="s">
        <v>307</v>
      </c>
      <c r="C17" s="78"/>
      <c r="D17" s="78"/>
      <c r="E17" s="78"/>
      <c r="F17" s="78"/>
      <c r="G17" s="78"/>
      <c r="H17" s="78"/>
    </row>
    <row r="18" spans="2:8" ht="15" customHeight="1" x14ac:dyDescent="0.2">
      <c r="B18" s="37" t="s">
        <v>308</v>
      </c>
      <c r="D18" s="64">
        <f>'Capex &amp; DA'!D20</f>
        <v>107.175</v>
      </c>
      <c r="E18" s="64">
        <f>'Capex &amp; DA'!E20</f>
        <v>164.98500000000001</v>
      </c>
      <c r="F18" s="64">
        <f>'Capex &amp; DA'!F20</f>
        <v>220.35</v>
      </c>
      <c r="G18" s="64">
        <f>'Capex &amp; DA'!G20</f>
        <v>279.96000000000004</v>
      </c>
      <c r="H18" s="64">
        <f>'Capex &amp; DA'!H20</f>
        <v>338.32500000000005</v>
      </c>
    </row>
    <row r="19" spans="2:8" ht="15" customHeight="1" x14ac:dyDescent="0.2">
      <c r="B19" s="36" t="s">
        <v>309</v>
      </c>
      <c r="D19" s="61">
        <f>D10+D7-D18-D15</f>
        <v>-106.6690272</v>
      </c>
      <c r="E19" s="61">
        <f>E10+E7-E18-E15</f>
        <v>-150.54286612800001</v>
      </c>
      <c r="F19" s="61">
        <f>F10+F7-F18-F15</f>
        <v>-168.70427063999998</v>
      </c>
      <c r="G19" s="61">
        <f>G10+G7-G18-G15</f>
        <v>-165.57982163988964</v>
      </c>
      <c r="H19" s="61">
        <f>H10+H7-H18-H15</f>
        <v>-124.68746842745284</v>
      </c>
    </row>
    <row r="20" spans="2:8" ht="15" customHeight="1" x14ac:dyDescent="0.2">
      <c r="B20" s="36" t="s">
        <v>310</v>
      </c>
      <c r="D20" s="61">
        <f>D19</f>
        <v>-106.6690272</v>
      </c>
      <c r="E20" s="61">
        <f>D20+E19</f>
        <v>-257.21189332800003</v>
      </c>
      <c r="F20" s="61">
        <f>E20+F19</f>
        <v>-425.91616396799998</v>
      </c>
      <c r="G20" s="61">
        <f>F20+G19</f>
        <v>-591.49598560788968</v>
      </c>
      <c r="H20" s="61">
        <f>G20+H19</f>
        <v>-716.18345403534249</v>
      </c>
    </row>
    <row r="21" spans="2:8" ht="20.25" customHeight="1" x14ac:dyDescent="0.2">
      <c r="B21" s="8" t="s">
        <v>311</v>
      </c>
      <c r="C21" s="8"/>
      <c r="D21" s="8"/>
      <c r="E21" s="8"/>
      <c r="F21" s="8"/>
      <c r="G21" s="8"/>
      <c r="H21" s="8"/>
    </row>
  </sheetData>
  <mergeCells count="5">
    <mergeCell ref="B2:H2"/>
    <mergeCell ref="B5:H5"/>
    <mergeCell ref="B12:H12"/>
    <mergeCell ref="B17:H17"/>
    <mergeCell ref="B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29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46" customWidth="1"/>
    <col min="3" max="3" width="3" customWidth="1"/>
    <col min="4" max="8" width="15" customWidth="1"/>
    <col min="9" max="9" width="18" customWidth="1"/>
  </cols>
  <sheetData>
    <row r="2" spans="2:8" ht="17.25" customHeight="1" x14ac:dyDescent="0.25">
      <c r="B2" s="1" t="s">
        <v>312</v>
      </c>
      <c r="C2" s="1"/>
      <c r="D2" s="1"/>
      <c r="E2" s="1"/>
      <c r="F2" s="1"/>
      <c r="G2" s="1"/>
      <c r="H2" s="1"/>
    </row>
    <row r="4" spans="2:8" ht="15" customHeight="1" x14ac:dyDescent="0.2">
      <c r="B4" s="51" t="s">
        <v>210</v>
      </c>
      <c r="D4" s="27" t="s">
        <v>211</v>
      </c>
      <c r="E4" s="27" t="s">
        <v>212</v>
      </c>
      <c r="F4" s="27" t="s">
        <v>213</v>
      </c>
      <c r="G4" s="27" t="s">
        <v>214</v>
      </c>
      <c r="H4" s="27" t="s">
        <v>215</v>
      </c>
    </row>
    <row r="5" spans="2:8" ht="15" customHeight="1" x14ac:dyDescent="0.2">
      <c r="B5" s="78" t="s">
        <v>313</v>
      </c>
      <c r="C5" s="78"/>
      <c r="D5" s="78"/>
      <c r="E5" s="78"/>
      <c r="F5" s="78"/>
      <c r="G5" s="78"/>
      <c r="H5" s="78"/>
    </row>
    <row r="6" spans="2:8" ht="15" customHeight="1" x14ac:dyDescent="0.2">
      <c r="B6" s="37" t="s">
        <v>314</v>
      </c>
      <c r="D6" s="52">
        <v>1</v>
      </c>
      <c r="E6" s="52">
        <v>2</v>
      </c>
      <c r="F6" s="52">
        <v>3</v>
      </c>
      <c r="G6" s="52">
        <v>4</v>
      </c>
      <c r="H6" s="52">
        <v>5</v>
      </c>
    </row>
    <row r="7" spans="2:8" ht="15" customHeight="1" x14ac:dyDescent="0.2">
      <c r="B7" s="37" t="s">
        <v>315</v>
      </c>
      <c r="D7" s="64">
        <f>'Working Capital &amp; FCF'!D19</f>
        <v>-106.6690272</v>
      </c>
      <c r="E7" s="64">
        <f>'Working Capital &amp; FCF'!E19</f>
        <v>-150.54286612800001</v>
      </c>
      <c r="F7" s="64">
        <f>'Working Capital &amp; FCF'!F19</f>
        <v>-168.70427063999998</v>
      </c>
      <c r="G7" s="64">
        <f>'Working Capital &amp; FCF'!G19</f>
        <v>-165.57982163988964</v>
      </c>
      <c r="H7" s="64">
        <f>'Working Capital &amp; FCF'!H19</f>
        <v>-124.68746842745284</v>
      </c>
    </row>
    <row r="8" spans="2:8" ht="15" customHeight="1" x14ac:dyDescent="0.2">
      <c r="B8" s="37" t="s">
        <v>316</v>
      </c>
      <c r="D8" s="60">
        <f>1/(1+Assumptions!$G$43)^D6</f>
        <v>0.898876404494382</v>
      </c>
      <c r="E8" s="60">
        <f>1/(1+Assumptions!$G$43)^E6</f>
        <v>0.80797879055674782</v>
      </c>
      <c r="F8" s="60">
        <f>1/(1+Assumptions!$G$43)^F6</f>
        <v>0.72627307016336884</v>
      </c>
      <c r="G8" s="60">
        <f>1/(1+Assumptions!$G$43)^G6</f>
        <v>0.65282972598954492</v>
      </c>
      <c r="H8" s="60">
        <f>1/(1+Assumptions!$G$43)^H6</f>
        <v>0.58681323684453479</v>
      </c>
    </row>
    <row r="9" spans="2:8" ht="15" customHeight="1" x14ac:dyDescent="0.2">
      <c r="B9" s="36" t="s">
        <v>317</v>
      </c>
      <c r="D9" s="61">
        <f>D7*D8</f>
        <v>-95.882271640449432</v>
      </c>
      <c r="E9" s="61">
        <f>E7*E8</f>
        <v>-121.63544290104785</v>
      </c>
      <c r="F9" s="61">
        <f>F7*F8</f>
        <v>-122.52536858738466</v>
      </c>
      <c r="G9" s="61">
        <f>G7*G8</f>
        <v>-108.09542959056688</v>
      </c>
      <c r="H9" s="61">
        <f>H7*H8</f>
        <v>-73.168256941864342</v>
      </c>
    </row>
    <row r="11" spans="2:8" ht="15" customHeight="1" x14ac:dyDescent="0.2">
      <c r="B11" s="78" t="s">
        <v>318</v>
      </c>
      <c r="C11" s="78"/>
      <c r="D11" s="78"/>
      <c r="E11" s="78"/>
      <c r="F11" s="78"/>
      <c r="G11" s="78"/>
      <c r="H11" s="78"/>
    </row>
    <row r="12" spans="2:8" ht="15" customHeight="1" x14ac:dyDescent="0.2">
      <c r="B12" s="66" t="s">
        <v>319</v>
      </c>
      <c r="D12" s="67">
        <f>Assumptions!$G$43</f>
        <v>0.1125</v>
      </c>
    </row>
    <row r="13" spans="2:8" ht="15" customHeight="1" x14ac:dyDescent="0.2">
      <c r="B13" s="36" t="s">
        <v>320</v>
      </c>
      <c r="D13" s="68">
        <f>SUM(D9:H9)</f>
        <v>-521.30676966131318</v>
      </c>
    </row>
    <row r="14" spans="2:8" ht="15" customHeight="1" x14ac:dyDescent="0.2">
      <c r="B14" s="36" t="s">
        <v>321</v>
      </c>
      <c r="D14" s="68">
        <f>SUM(D9:H9)+D27</f>
        <v>139.23148795075087</v>
      </c>
    </row>
    <row r="15" spans="2:8" ht="15" customHeight="1" x14ac:dyDescent="0.2">
      <c r="B15" s="69" t="s">
        <v>322</v>
      </c>
      <c r="D15" s="70">
        <f>D7</f>
        <v>-106.6690272</v>
      </c>
      <c r="E15" s="63">
        <f>E7</f>
        <v>-150.54286612800001</v>
      </c>
      <c r="F15" s="63">
        <f>F7</f>
        <v>-168.70427063999998</v>
      </c>
      <c r="G15" s="63">
        <f>G7</f>
        <v>-165.57982163988964</v>
      </c>
      <c r="H15" s="63">
        <f>H7+D26</f>
        <v>1000.9487922062883</v>
      </c>
    </row>
    <row r="16" spans="2:8" ht="15" customHeight="1" x14ac:dyDescent="0.2">
      <c r="B16" s="36" t="s">
        <v>323</v>
      </c>
      <c r="D16" s="50">
        <f>IFERROR(IRR(D15:H15),"n/m")</f>
        <v>0.23857048965777317</v>
      </c>
      <c r="E16" s="63"/>
      <c r="F16" s="63"/>
      <c r="G16" s="63"/>
      <c r="H16" s="63"/>
    </row>
    <row r="17" spans="2:8" ht="15" customHeight="1" x14ac:dyDescent="0.2">
      <c r="B17" s="69" t="s">
        <v>324</v>
      </c>
      <c r="D17" s="70">
        <f>D9</f>
        <v>-95.882271640449432</v>
      </c>
      <c r="E17" s="63">
        <f>D17+E9</f>
        <v>-217.5177145414973</v>
      </c>
      <c r="F17" s="63">
        <f>E17+F9</f>
        <v>-340.04308312888196</v>
      </c>
      <c r="G17" s="63">
        <f>F17+G9</f>
        <v>-448.13851271944884</v>
      </c>
      <c r="H17" s="63">
        <f>G17+H9+D27</f>
        <v>139.23148795075087</v>
      </c>
    </row>
    <row r="18" spans="2:8" ht="15" customHeight="1" x14ac:dyDescent="0.2">
      <c r="B18" s="36" t="s">
        <v>325</v>
      </c>
      <c r="D18" s="71">
        <f>IF(H17&lt;0,"&gt; 5 yrs",SUMPRODUCT(--(D17:H17&lt;0))+1)</f>
        <v>5</v>
      </c>
    </row>
    <row r="19" spans="2:8" ht="15" customHeight="1" x14ac:dyDescent="0.2">
      <c r="B19" s="36" t="s">
        <v>326</v>
      </c>
      <c r="D19" s="72">
        <f>IFERROR((SUMIF(D9:H9,"&gt;0")+D27)/-SUMIF(D9:H9,"&lt;0"),"n/m")</f>
        <v>1.2670816802191307</v>
      </c>
    </row>
    <row r="20" spans="2:8" ht="15" customHeight="1" x14ac:dyDescent="0.2">
      <c r="B20" s="78" t="s">
        <v>327</v>
      </c>
      <c r="C20" s="78"/>
      <c r="D20" s="78"/>
      <c r="E20" s="78"/>
      <c r="F20" s="78"/>
      <c r="G20" s="78"/>
      <c r="H20" s="78"/>
    </row>
    <row r="21" spans="2:8" ht="15" customHeight="1" x14ac:dyDescent="0.2">
      <c r="B21" s="36" t="s">
        <v>328</v>
      </c>
      <c r="D21" s="73">
        <f>'Working Capital &amp; FCF'!H10</f>
        <v>90.160185924547221</v>
      </c>
    </row>
    <row r="22" spans="2:8" ht="15" customHeight="1" x14ac:dyDescent="0.2">
      <c r="B22" s="36" t="s">
        <v>329</v>
      </c>
      <c r="D22" s="73">
        <f>'Working Capital &amp; FCF'!H7</f>
        <v>131.60999999999999</v>
      </c>
    </row>
    <row r="23" spans="2:8" ht="15" customHeight="1" x14ac:dyDescent="0.2">
      <c r="B23" s="36" t="s">
        <v>330</v>
      </c>
      <c r="D23" s="68">
        <f>D22</f>
        <v>131.60999999999999</v>
      </c>
    </row>
    <row r="24" spans="2:8" ht="15" customHeight="1" x14ac:dyDescent="0.2">
      <c r="B24" s="36" t="s">
        <v>331</v>
      </c>
      <c r="D24" s="43">
        <v>0.03</v>
      </c>
    </row>
    <row r="25" spans="2:8" ht="15" customHeight="1" x14ac:dyDescent="0.2">
      <c r="B25" s="36" t="s">
        <v>332</v>
      </c>
      <c r="D25" s="68">
        <f>D21+D22-D23</f>
        <v>90.160185924547221</v>
      </c>
    </row>
    <row r="26" spans="2:8" ht="20.25" customHeight="1" x14ac:dyDescent="0.2">
      <c r="B26" s="36" t="s">
        <v>333</v>
      </c>
      <c r="D26" s="68">
        <f>D25*(1+D24)/(D12-D24)</f>
        <v>1125.6362606337411</v>
      </c>
    </row>
    <row r="27" spans="2:8" ht="15" customHeight="1" x14ac:dyDescent="0.2">
      <c r="B27" s="36" t="s">
        <v>334</v>
      </c>
      <c r="D27" s="68">
        <f>D26*H8</f>
        <v>660.53825761206406</v>
      </c>
    </row>
    <row r="28" spans="2:8" ht="15" customHeight="1" x14ac:dyDescent="0.2">
      <c r="B28" s="2" t="s">
        <v>335</v>
      </c>
      <c r="C28" s="2"/>
      <c r="D28" s="2"/>
      <c r="E28" s="2"/>
      <c r="F28" s="2"/>
      <c r="G28" s="2"/>
      <c r="H28" s="2"/>
    </row>
    <row r="29" spans="2:8" ht="15" customHeight="1" x14ac:dyDescent="0.2">
      <c r="B29" s="2"/>
      <c r="C29" s="2"/>
      <c r="D29" s="2"/>
      <c r="E29" s="2"/>
      <c r="F29" s="2"/>
      <c r="G29" s="2"/>
      <c r="H29" s="2"/>
    </row>
  </sheetData>
  <mergeCells count="5">
    <mergeCell ref="B2:H2"/>
    <mergeCell ref="B5:H5"/>
    <mergeCell ref="B11:H11"/>
    <mergeCell ref="B20:H20"/>
    <mergeCell ref="B28:H2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F18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3" width="58" customWidth="1"/>
    <col min="4" max="4" width="13" customWidth="1"/>
    <col min="5" max="5" width="34" customWidth="1"/>
    <col min="6" max="6" width="18" customWidth="1"/>
  </cols>
  <sheetData>
    <row r="2" spans="2:6" ht="17.25" customHeight="1" x14ac:dyDescent="0.25">
      <c r="B2" s="1" t="s">
        <v>336</v>
      </c>
      <c r="C2" s="1"/>
      <c r="D2" s="1"/>
      <c r="E2" s="1"/>
      <c r="F2" s="1"/>
    </row>
    <row r="4" spans="2:6" ht="15" customHeight="1" x14ac:dyDescent="0.2">
      <c r="B4" s="27" t="s">
        <v>337</v>
      </c>
      <c r="C4" s="27" t="s">
        <v>338</v>
      </c>
      <c r="D4" s="27" t="s">
        <v>339</v>
      </c>
      <c r="E4" s="27" t="s">
        <v>340</v>
      </c>
      <c r="F4" s="27" t="s">
        <v>341</v>
      </c>
    </row>
    <row r="5" spans="2:6" ht="45.75" customHeight="1" x14ac:dyDescent="0.2">
      <c r="B5" s="75" t="s">
        <v>342</v>
      </c>
      <c r="C5" s="76" t="s">
        <v>195</v>
      </c>
      <c r="D5" s="74" t="s">
        <v>343</v>
      </c>
      <c r="E5" s="77" t="s">
        <v>344</v>
      </c>
      <c r="F5" s="77" t="s">
        <v>345</v>
      </c>
    </row>
    <row r="6" spans="2:6" ht="45.75" customHeight="1" x14ac:dyDescent="0.2">
      <c r="B6" s="75" t="s">
        <v>346</v>
      </c>
      <c r="C6" s="76" t="s">
        <v>132</v>
      </c>
      <c r="D6" s="74" t="s">
        <v>343</v>
      </c>
      <c r="E6" s="77" t="s">
        <v>347</v>
      </c>
      <c r="F6" s="77" t="s">
        <v>345</v>
      </c>
    </row>
    <row r="7" spans="2:6" ht="45.75" customHeight="1" x14ac:dyDescent="0.2">
      <c r="B7" s="75" t="s">
        <v>348</v>
      </c>
      <c r="C7" s="76" t="s">
        <v>192</v>
      </c>
      <c r="D7" s="74" t="s">
        <v>343</v>
      </c>
      <c r="E7" s="77" t="s">
        <v>349</v>
      </c>
      <c r="F7" s="77" t="s">
        <v>350</v>
      </c>
    </row>
    <row r="8" spans="2:6" ht="45.75" customHeight="1" x14ac:dyDescent="0.2">
      <c r="B8" s="75" t="s">
        <v>351</v>
      </c>
      <c r="C8" s="76" t="s">
        <v>352</v>
      </c>
      <c r="D8" s="74" t="s">
        <v>343</v>
      </c>
      <c r="E8" s="77" t="s">
        <v>353</v>
      </c>
      <c r="F8" s="77" t="s">
        <v>354</v>
      </c>
    </row>
    <row r="9" spans="2:6" ht="45.75" customHeight="1" x14ac:dyDescent="0.2">
      <c r="B9" s="75" t="s">
        <v>355</v>
      </c>
      <c r="C9" s="76" t="s">
        <v>136</v>
      </c>
      <c r="D9" s="74" t="s">
        <v>343</v>
      </c>
      <c r="E9" s="77" t="s">
        <v>356</v>
      </c>
      <c r="F9" s="77" t="s">
        <v>357</v>
      </c>
    </row>
    <row r="10" spans="2:6" ht="45.75" customHeight="1" x14ac:dyDescent="0.2">
      <c r="B10" s="75" t="s">
        <v>358</v>
      </c>
      <c r="C10" s="76" t="s">
        <v>149</v>
      </c>
      <c r="D10" s="74" t="s">
        <v>343</v>
      </c>
      <c r="E10" s="77" t="s">
        <v>359</v>
      </c>
      <c r="F10" s="77" t="s">
        <v>360</v>
      </c>
    </row>
    <row r="11" spans="2:6" ht="45.75" customHeight="1" x14ac:dyDescent="0.2">
      <c r="B11" s="75" t="s">
        <v>361</v>
      </c>
      <c r="C11" s="76" t="s">
        <v>362</v>
      </c>
      <c r="D11" s="74" t="s">
        <v>343</v>
      </c>
      <c r="E11" s="77" t="s">
        <v>363</v>
      </c>
      <c r="F11" s="77" t="s">
        <v>364</v>
      </c>
    </row>
    <row r="12" spans="2:6" ht="45.75" customHeight="1" x14ac:dyDescent="0.2">
      <c r="B12" s="75" t="s">
        <v>365</v>
      </c>
      <c r="C12" s="76" t="s">
        <v>145</v>
      </c>
      <c r="D12" s="74" t="s">
        <v>343</v>
      </c>
      <c r="E12" s="77" t="s">
        <v>366</v>
      </c>
      <c r="F12" s="77" t="s">
        <v>354</v>
      </c>
    </row>
    <row r="13" spans="2:6" ht="45.75" customHeight="1" x14ac:dyDescent="0.2">
      <c r="B13" s="75" t="s">
        <v>367</v>
      </c>
      <c r="C13" s="76" t="s">
        <v>141</v>
      </c>
      <c r="D13" s="74" t="s">
        <v>343</v>
      </c>
      <c r="E13" s="77" t="s">
        <v>368</v>
      </c>
      <c r="F13" s="77" t="s">
        <v>354</v>
      </c>
    </row>
    <row r="14" spans="2:6" ht="45.75" customHeight="1" x14ac:dyDescent="0.2">
      <c r="B14" s="75" t="s">
        <v>369</v>
      </c>
      <c r="C14" s="76" t="s">
        <v>172</v>
      </c>
      <c r="D14" s="74" t="s">
        <v>343</v>
      </c>
      <c r="E14" s="77" t="s">
        <v>370</v>
      </c>
      <c r="F14" s="77" t="s">
        <v>354</v>
      </c>
    </row>
    <row r="16" spans="2:6" ht="15" customHeight="1" x14ac:dyDescent="0.2">
      <c r="B16" s="80" t="s">
        <v>371</v>
      </c>
      <c r="C16" s="80"/>
      <c r="D16" s="80"/>
      <c r="E16" s="80"/>
      <c r="F16" s="80"/>
    </row>
    <row r="17" spans="2:6" ht="15" customHeight="1" x14ac:dyDescent="0.2">
      <c r="B17" s="80"/>
      <c r="C17" s="80"/>
      <c r="D17" s="80"/>
      <c r="E17" s="80"/>
      <c r="F17" s="80"/>
    </row>
    <row r="18" spans="2:6" ht="15" customHeight="1" x14ac:dyDescent="0.2">
      <c r="B18" s="80"/>
      <c r="C18" s="80"/>
      <c r="D18" s="80"/>
      <c r="E18" s="80"/>
      <c r="F18" s="80"/>
    </row>
  </sheetData>
  <mergeCells count="2">
    <mergeCell ref="B2:F2"/>
    <mergeCell ref="B16:F18"/>
  </mergeCells>
  <hyperlinks>
    <hyperlink ref="C5" r:id="rId1" xr:uid="{00000000-0004-0000-0D00-000000000000}"/>
    <hyperlink ref="C6" r:id="rId2" xr:uid="{00000000-0004-0000-0D00-000001000000}"/>
    <hyperlink ref="C7" r:id="rId3" xr:uid="{00000000-0004-0000-0D00-000002000000}"/>
    <hyperlink ref="C8" r:id="rId4" xr:uid="{00000000-0004-0000-0D00-000003000000}"/>
    <hyperlink ref="C9" r:id="rId5" xr:uid="{00000000-0004-0000-0D00-000004000000}"/>
    <hyperlink ref="C10" r:id="rId6" xr:uid="{00000000-0004-0000-0D00-000005000000}"/>
    <hyperlink ref="C11" r:id="rId7" xr:uid="{00000000-0004-0000-0D00-000006000000}"/>
    <hyperlink ref="C12" r:id="rId8" xr:uid="{00000000-0004-0000-0D00-000007000000}"/>
    <hyperlink ref="C13" r:id="rId9" xr:uid="{00000000-0004-0000-0D00-000008000000}"/>
    <hyperlink ref="C14" r:id="rId10" xr:uid="{00000000-0004-0000-0D00-000009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Executive Summary</vt:lpstr>
      <vt:lpstr>Source Data</vt:lpstr>
      <vt:lpstr>Assumptions</vt:lpstr>
      <vt:lpstr>Rollout Plan</vt:lpstr>
      <vt:lpstr>Revenue Build</vt:lpstr>
      <vt:lpstr>Opex &amp; EBITDA</vt:lpstr>
      <vt:lpstr>Capex &amp; DA</vt:lpstr>
      <vt:lpstr>Working Capital &amp; FCF</vt:lpstr>
      <vt:lpstr>Valuation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Romit Banerjee - 21277030197</cp:lastModifiedBy>
  <cp:revision>3</cp:revision>
  <dcterms:created xsi:type="dcterms:W3CDTF">2026-06-22T20:28:02Z</dcterms:created>
  <dcterms:modified xsi:type="dcterms:W3CDTF">2026-06-22T20:44:26Z</dcterms:modified>
  <dc:language>en-US</dc:language>
</cp:coreProperties>
</file>
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romitbanerjee/Documents/PENDING FINANCE LIVE PROJECT/"/>
    </mc:Choice>
  </mc:AlternateContent>
  <xr:revisionPtr revIDLastSave="0" documentId="8_{2172B0BE-C183-9A4B-8D1D-944D85C4432E}" xr6:coauthVersionLast="47" xr6:coauthVersionMax="47" xr10:uidLastSave="{00000000-0000-0000-0000-000000000000}"/>
  <bookViews>
    <workbookView xWindow="0" yWindow="660" windowWidth="24360" windowHeight="15740" tabRatio="500" activeTab="2" xr2:uid="{00000000-000D-0000-FFFF-FFFF00000000}"/>
  </bookViews>
  <sheets>
    <sheet name="Cover" sheetId="1" r:id="rId1"/>
    <sheet name="Executive Summary" sheetId="2" r:id="rId2"/>
    <sheet name="Reinvestment Capacity" sheetId="3" r:id="rId3"/>
    <sheet name="Project Assumptions" sheetId="4" r:id="rId4"/>
    <sheet name="P1 Model" sheetId="5" r:id="rId5"/>
    <sheet name="P2 Model" sheetId="6" r:id="rId6"/>
    <sheet name="P3 Model" sheetId="7" r:id="rId7"/>
    <sheet name="NPV &amp; IRR" sheetId="8" r:id="rId8"/>
    <sheet name="Sources" sheetId="10" r:id="rId9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6" i="8" l="1"/>
  <c r="C14" i="8"/>
  <c r="C11" i="8"/>
  <c r="D9" i="7"/>
  <c r="D13" i="7" s="1"/>
  <c r="D8" i="7"/>
  <c r="D10" i="7" s="1"/>
  <c r="H7" i="7"/>
  <c r="G7" i="7"/>
  <c r="F7" i="7"/>
  <c r="E7" i="7"/>
  <c r="D7" i="7"/>
  <c r="D6" i="7"/>
  <c r="E6" i="7" s="1"/>
  <c r="E15" i="6"/>
  <c r="D15" i="6"/>
  <c r="H7" i="6"/>
  <c r="G7" i="6"/>
  <c r="F7" i="6"/>
  <c r="E7" i="6"/>
  <c r="D7" i="6"/>
  <c r="D6" i="6"/>
  <c r="E6" i="6" s="1"/>
  <c r="E15" i="5"/>
  <c r="D15" i="5"/>
  <c r="D9" i="5"/>
  <c r="D13" i="5" s="1"/>
  <c r="H7" i="5"/>
  <c r="G7" i="5"/>
  <c r="F7" i="5"/>
  <c r="E7" i="5"/>
  <c r="D7" i="5"/>
  <c r="D6" i="5"/>
  <c r="E6" i="5" s="1"/>
  <c r="E5" i="4"/>
  <c r="F9" i="7" s="1"/>
  <c r="F13" i="7" s="1"/>
  <c r="D5" i="4"/>
  <c r="G9" i="6" s="1"/>
  <c r="G13" i="6" s="1"/>
  <c r="C5" i="4"/>
  <c r="E9" i="5" s="1"/>
  <c r="E13" i="5" s="1"/>
  <c r="D28" i="3"/>
  <c r="D26" i="3"/>
  <c r="D25" i="3"/>
  <c r="C21" i="3"/>
  <c r="C20" i="3"/>
  <c r="C19" i="3"/>
  <c r="C18" i="3"/>
  <c r="F8" i="3"/>
  <c r="E8" i="3"/>
  <c r="D8" i="3"/>
  <c r="C8" i="3"/>
  <c r="F9" i="5" l="1"/>
  <c r="F13" i="5" s="1"/>
  <c r="G9" i="5"/>
  <c r="G13" i="5" s="1"/>
  <c r="E9" i="7"/>
  <c r="E13" i="7" s="1"/>
  <c r="C5" i="6"/>
  <c r="D27" i="3"/>
  <c r="D29" i="3" s="1"/>
  <c r="D30" i="3" s="1"/>
  <c r="D31" i="3" s="1"/>
  <c r="D11" i="7"/>
  <c r="D12" i="7" s="1"/>
  <c r="F6" i="6"/>
  <c r="E14" i="6"/>
  <c r="E8" i="6"/>
  <c r="E10" i="6" s="1"/>
  <c r="F6" i="7"/>
  <c r="E14" i="7"/>
  <c r="E8" i="7"/>
  <c r="H9" i="7"/>
  <c r="H13" i="7" s="1"/>
  <c r="C5" i="7"/>
  <c r="E9" i="6"/>
  <c r="E13" i="6" s="1"/>
  <c r="G9" i="7"/>
  <c r="G13" i="7" s="1"/>
  <c r="H9" i="5"/>
  <c r="H13" i="5" s="1"/>
  <c r="C5" i="5"/>
  <c r="D20" i="8"/>
  <c r="D8" i="2" s="1"/>
  <c r="C16" i="6"/>
  <c r="C18" i="6" s="1"/>
  <c r="D14" i="7"/>
  <c r="F9" i="6"/>
  <c r="F13" i="6" s="1"/>
  <c r="D15" i="7"/>
  <c r="D9" i="6"/>
  <c r="D13" i="6" s="1"/>
  <c r="E14" i="5"/>
  <c r="E8" i="5"/>
  <c r="E10" i="5" s="1"/>
  <c r="F6" i="5"/>
  <c r="H9" i="6"/>
  <c r="H13" i="6" s="1"/>
  <c r="E15" i="7"/>
  <c r="C6" i="8"/>
  <c r="D8" i="6"/>
  <c r="D14" i="6"/>
  <c r="D8" i="5"/>
  <c r="D10" i="5" s="1"/>
  <c r="D14" i="5"/>
  <c r="E10" i="7" l="1"/>
  <c r="E11" i="7"/>
  <c r="E12" i="7" s="1"/>
  <c r="E16" i="7" s="1"/>
  <c r="E18" i="7" s="1"/>
  <c r="E20" i="7" s="1"/>
  <c r="C16" i="7"/>
  <c r="C18" i="7" s="1"/>
  <c r="E20" i="8"/>
  <c r="E8" i="2" s="1"/>
  <c r="E11" i="5"/>
  <c r="E12" i="5" s="1"/>
  <c r="E16" i="5" s="1"/>
  <c r="E18" i="5" s="1"/>
  <c r="E20" i="5" s="1"/>
  <c r="C20" i="8"/>
  <c r="C8" i="2" s="1"/>
  <c r="C16" i="5"/>
  <c r="C18" i="5" s="1"/>
  <c r="D11" i="5"/>
  <c r="D12" i="5" s="1"/>
  <c r="D16" i="5" s="1"/>
  <c r="D18" i="5" s="1"/>
  <c r="D10" i="6"/>
  <c r="D16" i="7"/>
  <c r="D18" i="7" s="1"/>
  <c r="F15" i="5"/>
  <c r="F14" i="5"/>
  <c r="G6" i="5"/>
  <c r="F8" i="5"/>
  <c r="F10" i="5" s="1"/>
  <c r="F15" i="7"/>
  <c r="G6" i="7"/>
  <c r="F14" i="7"/>
  <c r="F8" i="7"/>
  <c r="F10" i="7" s="1"/>
  <c r="E11" i="6"/>
  <c r="E12" i="6" s="1"/>
  <c r="E16" i="6" s="1"/>
  <c r="E18" i="6" s="1"/>
  <c r="E20" i="6" s="1"/>
  <c r="F14" i="6"/>
  <c r="F8" i="6"/>
  <c r="F10" i="6" s="1"/>
  <c r="F15" i="6"/>
  <c r="G6" i="6"/>
  <c r="H19" i="6"/>
  <c r="H19" i="7"/>
  <c r="G19" i="7"/>
  <c r="C19" i="7"/>
  <c r="E19" i="7"/>
  <c r="F19" i="5"/>
  <c r="G19" i="6"/>
  <c r="H19" i="5"/>
  <c r="C19" i="5"/>
  <c r="F19" i="7"/>
  <c r="F19" i="6"/>
  <c r="G19" i="5"/>
  <c r="D19" i="6"/>
  <c r="E19" i="5"/>
  <c r="E19" i="6"/>
  <c r="D19" i="7"/>
  <c r="C19" i="6"/>
  <c r="C20" i="6" s="1"/>
  <c r="D19" i="5"/>
  <c r="G15" i="6" l="1"/>
  <c r="H6" i="6"/>
  <c r="G8" i="6"/>
  <c r="G10" i="6" s="1"/>
  <c r="G14" i="6"/>
  <c r="C20" i="5"/>
  <c r="G15" i="7"/>
  <c r="G14" i="7"/>
  <c r="G8" i="7"/>
  <c r="G10" i="7" s="1"/>
  <c r="H6" i="7"/>
  <c r="D20" i="5"/>
  <c r="F11" i="5"/>
  <c r="F12" i="5" s="1"/>
  <c r="F16" i="5" s="1"/>
  <c r="F18" i="5" s="1"/>
  <c r="C20" i="7"/>
  <c r="F11" i="6"/>
  <c r="F12" i="6" s="1"/>
  <c r="F16" i="6" s="1"/>
  <c r="F18" i="6" s="1"/>
  <c r="F20" i="6" s="1"/>
  <c r="G14" i="5"/>
  <c r="G8" i="5"/>
  <c r="G10" i="5" s="1"/>
  <c r="G15" i="5"/>
  <c r="H6" i="5"/>
  <c r="D20" i="7"/>
  <c r="F11" i="7"/>
  <c r="F12" i="7" s="1"/>
  <c r="F16" i="7" s="1"/>
  <c r="F18" i="7" s="1"/>
  <c r="D11" i="6"/>
  <c r="D12" i="6" s="1"/>
  <c r="D16" i="6" s="1"/>
  <c r="D18" i="6" s="1"/>
  <c r="D20" i="6" l="1"/>
  <c r="F20" i="7"/>
  <c r="F20" i="5"/>
  <c r="H15" i="7"/>
  <c r="H14" i="7"/>
  <c r="H8" i="7"/>
  <c r="H10" i="7" s="1"/>
  <c r="H14" i="6"/>
  <c r="H15" i="6"/>
  <c r="H8" i="6"/>
  <c r="H10" i="6" s="1"/>
  <c r="G11" i="7"/>
  <c r="G12" i="7" s="1"/>
  <c r="G16" i="7" s="1"/>
  <c r="G18" i="7" s="1"/>
  <c r="G20" i="7" s="1"/>
  <c r="H15" i="5"/>
  <c r="H8" i="5"/>
  <c r="H10" i="5" s="1"/>
  <c r="H14" i="5"/>
  <c r="G11" i="5"/>
  <c r="G12" i="5" s="1"/>
  <c r="G16" i="5" s="1"/>
  <c r="G18" i="5" s="1"/>
  <c r="G11" i="6"/>
  <c r="G12" i="6" s="1"/>
  <c r="G16" i="6" s="1"/>
  <c r="G18" i="6" s="1"/>
  <c r="G20" i="6" s="1"/>
  <c r="G20" i="5" l="1"/>
  <c r="H11" i="7"/>
  <c r="H12" i="7"/>
  <c r="H16" i="7" s="1"/>
  <c r="H11" i="5"/>
  <c r="H12" i="5"/>
  <c r="H16" i="5" s="1"/>
  <c r="H11" i="6"/>
  <c r="H12" i="6"/>
  <c r="H16" i="6" s="1"/>
  <c r="C24" i="6" l="1"/>
  <c r="D22" i="8" s="1"/>
  <c r="H17" i="6"/>
  <c r="H18" i="6" s="1"/>
  <c r="H17" i="5"/>
  <c r="H18" i="5"/>
  <c r="C24" i="5"/>
  <c r="C22" i="8" s="1"/>
  <c r="C24" i="7"/>
  <c r="E22" i="8" s="1"/>
  <c r="H17" i="7"/>
  <c r="H18" i="7" s="1"/>
  <c r="H20" i="7" l="1"/>
  <c r="C22" i="7" s="1"/>
  <c r="E21" i="8" s="1"/>
  <c r="C23" i="7"/>
  <c r="E23" i="8" s="1"/>
  <c r="H20" i="6"/>
  <c r="C22" i="6" s="1"/>
  <c r="D21" i="8" s="1"/>
  <c r="C23" i="6"/>
  <c r="D23" i="8" s="1"/>
  <c r="H20" i="5"/>
  <c r="C22" i="5" s="1"/>
  <c r="C21" i="8" s="1"/>
  <c r="C23" i="5"/>
  <c r="C23" i="8" s="1"/>
  <c r="E24" i="8" l="1"/>
  <c r="E11" i="2" s="1"/>
  <c r="E10" i="2"/>
  <c r="D25" i="8"/>
  <c r="D12" i="2" s="1"/>
  <c r="D9" i="2"/>
  <c r="C25" i="8"/>
  <c r="C12" i="2" s="1"/>
  <c r="C9" i="2"/>
  <c r="C10" i="2"/>
  <c r="C24" i="8"/>
  <c r="C11" i="2" s="1"/>
  <c r="D24" i="8"/>
  <c r="D11" i="2" s="1"/>
  <c r="D10" i="2"/>
  <c r="E25" i="8"/>
  <c r="E12" i="2" s="1"/>
  <c r="E9" i="2"/>
</calcChain>
</file>

<file path=xl/sharedStrings.xml><?xml version="1.0" encoding="utf-8"?>
<sst xmlns="http://schemas.openxmlformats.org/spreadsheetml/2006/main" count="335" uniqueCount="251">
  <si>
    <t>RELIANCE INDUSTRIES LIMITED</t>
  </si>
  <si>
    <t>Company (NSE)</t>
  </si>
  <si>
    <t>Reliance Industries Ltd — RELIANCE.NS</t>
  </si>
  <si>
    <t>Currency / Units</t>
  </si>
  <si>
    <t>Indian Rupee, INR crore (1 cr = 10 million)</t>
  </si>
  <si>
    <t>Latest fiscal year</t>
  </si>
  <si>
    <t>FY2026 (year ended 31-Mar-2026), consolidated</t>
  </si>
  <si>
    <t>Model horizon</t>
  </si>
  <si>
    <t>5 years (Year 0 investment + Years 1–5 cash flows)</t>
  </si>
  <si>
    <t>Common reinvestment / project</t>
  </si>
  <si>
    <t>INR 30,000 crore (see Reinvestment Capacity tab)</t>
  </si>
  <si>
    <t>Discount rate (WACC)</t>
  </si>
  <si>
    <t>Executive Summary</t>
  </si>
  <si>
    <t>Reliance Industries Ltd has the balance-sheet strength and operating cash to fund a fresh growth wave. This model sizes a defensible common reinvestment ticket and appraises three strategically-aligned projects over a 5-year horizon.</t>
  </si>
  <si>
    <t>Headline Results (INR crore unless noted)</t>
  </si>
  <si>
    <t>P1 New Energy</t>
  </si>
  <si>
    <t>P2 Jio 5G FWA</t>
  </si>
  <si>
    <t>P3 Retail QC</t>
  </si>
  <si>
    <t>Initial investment (Year 0)</t>
  </si>
  <si>
    <t>NPV @ WACC</t>
  </si>
  <si>
    <t>IRR</t>
  </si>
  <si>
    <t>IRR spread over WACC</t>
  </si>
  <si>
    <t>Profitability Index</t>
  </si>
  <si>
    <t>Key Decisions &amp; Justifications</t>
  </si>
  <si>
    <t>Company</t>
  </si>
  <si>
    <t>Reliance Industries Ltd (RELIANCE.NS) — India's largest diversified group with self-funding cash flow and low leverage, per brief.</t>
  </si>
  <si>
    <t>Why RIL can reinvest</t>
  </si>
  <si>
    <t>FY26 CFO ~₹174,770 cr &gt; capex ~₹122,916 cr; Net Debt/EBITDA ~1.2x; ₹145,977 cr cash. Capex super-cycle (Jio 5G) moderating.</t>
  </si>
  <si>
    <t>Common reinvestment</t>
  </si>
  <si>
    <t>₹30,000 crore per project (₹90,000 cr total) — derived from discretionary growth cash + prudent debt headroom, half-allocated and split three ways. Well inside annual capex run-rate.</t>
  </si>
  <si>
    <t>Project 1</t>
  </si>
  <si>
    <t>New Energy: integrated solar + battery manufacturing (Jamnagar Giga-complex, 40→100 GWh).</t>
  </si>
  <si>
    <t>Project 2</t>
  </si>
  <si>
    <t>Jio 5G Fixed Wireless Access + enterprise digital services, monetising the completed 5G network.</t>
  </si>
  <si>
    <t>Project 3</t>
  </si>
  <si>
    <t>Reliance Retail premium / quick-commerce / private-label expansion (JioMart).</t>
  </si>
  <si>
    <t>Discount rate</t>
  </si>
  <si>
    <t>WACC ~11.5% built from CAPM cost of equity and after-tax cost of debt; same hurdle applied to all projects.</t>
  </si>
  <si>
    <t>Decision rule</t>
  </si>
  <si>
    <t>Accept projects with NPV&gt;0 and IRR&gt;WACC; rank by NPV / Profitability Index. See live results above and NPV &amp; IRR tab.</t>
  </si>
  <si>
    <t>RIL Reinvestment Capacity — Why &amp; How Much</t>
  </si>
  <si>
    <t>A. Financial Capacity — 4-Year History (INR crore, consolidated)</t>
  </si>
  <si>
    <t>Metric</t>
  </si>
  <si>
    <t>FY2023</t>
  </si>
  <si>
    <t>FY2024</t>
  </si>
  <si>
    <t>FY2025</t>
  </si>
  <si>
    <t>FY2026</t>
  </si>
  <si>
    <t>Cash Flow from Operations (CFO)</t>
  </si>
  <si>
    <t>Finance data (FMP), RIL annual cash-flow; FY25 RIL media release ₹178,703cr (incl. interest)</t>
  </si>
  <si>
    <t>Capital Expenditure (capex)</t>
  </si>
  <si>
    <t>Finance data; FY25 RIL media release ₹131,107cr</t>
  </si>
  <si>
    <t>Free Cash Flow (CFO – capex)</t>
  </si>
  <si>
    <t>Formula = CFO – capex</t>
  </si>
  <si>
    <t>Depreciation &amp; Amortisation</t>
  </si>
  <si>
    <t>Finance data (FMP) annual cash-flow</t>
  </si>
  <si>
    <t>EBITDA</t>
  </si>
  <si>
    <t>Finance data; FY25 EBITDA ₹183,422cr RIL media release</t>
  </si>
  <si>
    <t>Cash &amp; Cash Equivalents (year-end)</t>
  </si>
  <si>
    <t>Finance data (FMP) balance sheet</t>
  </si>
  <si>
    <t>Total Debt</t>
  </si>
  <si>
    <t>Net Debt</t>
  </si>
  <si>
    <t>Finance data; FY25 RIL media release ₹117,083cr (RIL definition differs)</t>
  </si>
  <si>
    <t>Total Equity</t>
  </si>
  <si>
    <t>Finance data; FY25 RIL media release ₹1,009,626cr</t>
  </si>
  <si>
    <t>B. Capacity Ratios &amp; Headroom</t>
  </si>
  <si>
    <t>Ratio</t>
  </si>
  <si>
    <t>FY2026 Value</t>
  </si>
  <si>
    <t>Interpretation</t>
  </si>
  <si>
    <t>Net Debt / EBITDA</t>
  </si>
  <si>
    <t>Low leverage for a diversified investment-grade group; ample debt headroom</t>
  </si>
  <si>
    <t>Net Debt / Equity</t>
  </si>
  <si>
    <t>Conservative gearing; balance sheet can absorb new growth capex</t>
  </si>
  <si>
    <t>CFO / Capex coverage</t>
  </si>
  <si>
    <t>&gt;1.0x = capex fully self-funded by operating cash</t>
  </si>
  <si>
    <t>Cash + 1yr FCF buffer (cr)</t>
  </si>
  <si>
    <t>Internal liquidity available before any new borrowing</t>
  </si>
  <si>
    <t>C. Common Reinvestment Amount — Build-Up (per project)</t>
  </si>
  <si>
    <t>Step</t>
  </si>
  <si>
    <t>Basis</t>
  </si>
  <si>
    <t>Amount (cr)</t>
  </si>
  <si>
    <t>Source / Rationale</t>
  </si>
  <si>
    <t>1</t>
  </si>
  <si>
    <t>FY26 Cash Flow from Operations</t>
  </si>
  <si>
    <t>CFO!ref — latest annual operating cash (FMP / RIL)</t>
  </si>
  <si>
    <t>2</t>
  </si>
  <si>
    <t>Less: maintenance capex (~D&amp;A proxy)</t>
  </si>
  <si>
    <t>Maintenance set at FY26 D&amp;A; sustains existing asset base</t>
  </si>
  <si>
    <t>3</t>
  </si>
  <si>
    <t>Discretionary growth cash / year</t>
  </si>
  <si>
    <t>Annual internal cash free for NEW growth projects</t>
  </si>
  <si>
    <t>4</t>
  </si>
  <si>
    <t>Add: undrawn debt headroom to reach 2.0x Net Debt/EBITDA</t>
  </si>
  <si>
    <t>Target 2.0x leverage (still investment-grade); RIL FY26 only ~1.2x</t>
  </si>
  <si>
    <t>5</t>
  </si>
  <si>
    <t>Total deployable growth capacity (1yr)</t>
  </si>
  <si>
    <t>Internal cash + prudent incremental debt</t>
  </si>
  <si>
    <t>6</t>
  </si>
  <si>
    <t>Allocation to the three appraised projects (50%)</t>
  </si>
  <si>
    <t>Keep half of capacity for base petrochem/O2C &amp; buffers</t>
  </si>
  <si>
    <t>7</t>
  </si>
  <si>
    <t>Per-project common amount = row6 / 3 projects</t>
  </si>
  <si>
    <t>Equal ticket across all 3 projects</t>
  </si>
  <si>
    <t>8</t>
  </si>
  <si>
    <t>Rounded common reinvestment / project</t>
  </si>
  <si>
    <t>Analyst est.: rounded to ₹30,000 cr; 3×=₹90,000cr &lt; FY26 capex ₹122,916cr</t>
  </si>
  <si>
    <t>D. Why Reliance Has the Potential to Reinvest</t>
  </si>
  <si>
    <t>1. Self-funding cash engine: FY26 CFO of ~₹174,770 cr exceeded capex of ~₹122,916 cr, producing positive free cash flow (CFO/Capex &gt;1.0x).</t>
  </si>
  <si>
    <t>2. De-levered balance sheet: Net Debt/EBITDA ~1.2x and Net Debt/Equity well under 30% give large untapped, investment-grade debt headroom.</t>
  </si>
  <si>
    <t>3. Capex super-cycle moderating: Jio's pan-India 5G rollout (peaked FY24) is largely complete, freeing cash for the next growth wave (Economic Times, JM Financial).</t>
  </si>
  <si>
    <t>4. Stated strategic intent: RIL has announced ~₹1.5 lakh crore for New Energy + petrochem and a 40→50 GWh battery &amp; solar Giga-complex at Jamnagar (Business Standard, RIL AGM).</t>
  </si>
  <si>
    <t>5. Liquidity cushion: ₹145,977 cr cash plus annual FCF means projects can begin without external equity dilution.</t>
  </si>
  <si>
    <t>Project Assumptions — Inputs (blue) with Sources</t>
  </si>
  <si>
    <t>Assumption</t>
  </si>
  <si>
    <t>Source / Basis</t>
  </si>
  <si>
    <t>Common reinvestment (Year 0) — cr</t>
  </si>
  <si>
    <t>From Reinvestment Capacity tab D32 — same for all three</t>
  </si>
  <si>
    <t>Project economic life (years)</t>
  </si>
  <si>
    <t>Model horizon per brief (5-year)</t>
  </si>
  <si>
    <t>Year-1 revenue / benefit (cr)</t>
  </si>
  <si>
    <t>Analyst est.: P1 solar+battery offtake; P2 FWA+enterprise; P3 retail/QC throughput</t>
  </si>
  <si>
    <t>Annual revenue growth (Yr2-5)</t>
  </si>
  <si>
    <t>Analyst est.: ramp of new capacity; RIL segment growth (RRVL +11%, Jio +17% FY25)</t>
  </si>
  <si>
    <t>Steady-state EBITDA margin</t>
  </si>
  <si>
    <t>Analyst est.: New Energy integrated mfg; Jio EBITDA margin ~43% (FY25); RRVL ~7-8%</t>
  </si>
  <si>
    <t>EBITDA margin in Year 1 (ramp)</t>
  </si>
  <si>
    <t>Analyst est.: lower margin during commissioning/ramp</t>
  </si>
  <si>
    <t>Maintenance capex (% of revenue)</t>
  </si>
  <si>
    <t>Analyst est.: capital intensity by sector</t>
  </si>
  <si>
    <t>Working capital (% of revenue)</t>
  </si>
  <si>
    <t>Analyst est.: inventory/receivables intensity; retail asset-light QC</t>
  </si>
  <si>
    <t>Depreciation (% of Yr0 capex / yr, straight-line)</t>
  </si>
  <si>
    <t>Analyst est.: ~10y plant, ~8y network, ~6.7y fit-out/equipment</t>
  </si>
  <si>
    <t>Corporate tax rate</t>
  </si>
  <si>
    <t>India headline corporate tax incl. surcharge &amp; cess (~25.17%)</t>
  </si>
  <si>
    <t>Terminal growth (for terminal value)</t>
  </si>
  <si>
    <t>Analyst est.: long-run nominal growth ~ India GDP/inflation</t>
  </si>
  <si>
    <t>Project 1 — New Energy (Solar + Battery)</t>
  </si>
  <si>
    <t>Integrated solar module + battery cell manufacturing within the Jamnagar Green Energy Giga-complex (40→50 GWh battery, multi-GW solar). Source: RIL AGM / Business Standard / ess-news.</t>
  </si>
  <si>
    <t>Line item (INR crore)</t>
  </si>
  <si>
    <t>Year 0</t>
  </si>
  <si>
    <t>Year 1</t>
  </si>
  <si>
    <t>Year 2</t>
  </si>
  <si>
    <t>Year 3</t>
  </si>
  <si>
    <t>Year 4</t>
  </si>
  <si>
    <t>Year 5</t>
  </si>
  <si>
    <t>Notes</t>
  </si>
  <si>
    <t>Initial investment (Year 0 capex)</t>
  </si>
  <si>
    <t>Common reinvestment, link to Assumptions</t>
  </si>
  <si>
    <t>Revenue / benefit</t>
  </si>
  <si>
    <t>EBITDA margin (%)</t>
  </si>
  <si>
    <t>Year 1 ramp → steady-state</t>
  </si>
  <si>
    <t>Less: Depreciation</t>
  </si>
  <si>
    <t>Straight-line on Yr0 capex</t>
  </si>
  <si>
    <t>EBIT</t>
  </si>
  <si>
    <t>Less: Tax</t>
  </si>
  <si>
    <t>Tax on EBIT (if positive)</t>
  </si>
  <si>
    <t>NOPAT (EBIT after tax)</t>
  </si>
  <si>
    <t>Add: Depreciation</t>
  </si>
  <si>
    <t>Less: Maintenance capex</t>
  </si>
  <si>
    <t>Less: Increase in working capital</t>
  </si>
  <si>
    <t>ΔRevenue × WC%</t>
  </si>
  <si>
    <t>Free Cash Flow to Firm</t>
  </si>
  <si>
    <t>Terminal value (Year 5)</t>
  </si>
  <si>
    <t>Gordon growth on Yr5 FCF + WC release</t>
  </si>
  <si>
    <t>Total cash flow (for NPV/IRR)</t>
  </si>
  <si>
    <t>Discount factor @ WACC</t>
  </si>
  <si>
    <t>Discount factor = 1/(1+WACC)^year</t>
  </si>
  <si>
    <t>PV of cash flow</t>
  </si>
  <si>
    <t>NPV (sum of PVs)</t>
  </si>
  <si>
    <t>NPV excl. terminal value</t>
  </si>
  <si>
    <t>Project 2 — Jio 5G Fixed Wireless Access + Enterprise</t>
  </si>
  <si>
    <t>Scale Jio's 5G Standalone fixed wireless access (home broadband) and enterprise/B2B digital services, monetising the completed pan-India 5G network. Source: RIL AGM / Economic Times / Omdia FWA outlook.</t>
  </si>
  <si>
    <t>Project 3 — Reliance Retail Quick-Commerce / Private Label</t>
  </si>
  <si>
    <t>Expand Reliance Retail premium store footprint, private-label and quick-commerce fulfilment (JioMart). Source: RIL FY25 media release (RRVL ₹330,870cr revenue, 19,340 stores).</t>
  </si>
  <si>
    <t>Discount Rate (WACC) Build-Up &amp; NPV / IRR Comparison</t>
  </si>
  <si>
    <t>A. Weighted Average Cost of Capital (WACC)</t>
  </si>
  <si>
    <t>WACC (used by all projects)</t>
  </si>
  <si>
    <t>Computed below; same rate applied to all three projects</t>
  </si>
  <si>
    <t>Risk-free rate (10Y India G-Sec)</t>
  </si>
  <si>
    <t>Approx India 10-year sovereign yield (RBI/market), analyst est.</t>
  </si>
  <si>
    <t>Equity risk premium</t>
  </si>
  <si>
    <t>Long-run India equity risk premium, analyst est. (Damodaran-style)</t>
  </si>
  <si>
    <t>Beta (levered, RIL diversified)</t>
  </si>
  <si>
    <t>Analyst est. for diversified RIL conglomerate</t>
  </si>
  <si>
    <t>Cost of equity = Rf + Beta×ERP</t>
  </si>
  <si>
    <t>CAPM formula</t>
  </si>
  <si>
    <t>Pre-tax cost of debt</t>
  </si>
  <si>
    <t>Analyst est.: investment-grade INR borrowing cost</t>
  </si>
  <si>
    <t>Tax rate</t>
  </si>
  <si>
    <t>India corporate tax incl. surcharge/cess</t>
  </si>
  <si>
    <t>After-tax cost of debt</t>
  </si>
  <si>
    <t>Kd×(1–tax)</t>
  </si>
  <si>
    <t>Equity weight (E/V)</t>
  </si>
  <si>
    <t>Analyst est.: RIL ~low leverage, equity-heavy capital structure</t>
  </si>
  <si>
    <t>Debt weight (D/V)</t>
  </si>
  <si>
    <t>Equals 1 minus equity weight</t>
  </si>
  <si>
    <t>B. Project Comparison Summary (INR crore)</t>
  </si>
  <si>
    <t>Same ₹30,000 cr each</t>
  </si>
  <si>
    <t>Accept if NPV &gt; 0</t>
  </si>
  <si>
    <t>Conservative check</t>
  </si>
  <si>
    <t>Accept if IRR &gt; WACC</t>
  </si>
  <si>
    <t>IRR – WACC; higher = better</t>
  </si>
  <si>
    <t>Profitability Index (NPV/Inv +1)</t>
  </si>
  <si>
    <t>PI &gt; 1.0 = value-accretive</t>
  </si>
  <si>
    <t>Interpretation: All three projects use the identical ₹30,000 cr ticket. A project is accepted when NPV&gt;0 and IRR&gt;WACC. Rank by NPV / Profitability Index. See cells above for live results after recalculation.</t>
  </si>
  <si>
    <t>Sources &amp; References (full URLs)</t>
  </si>
  <si>
    <t>#</t>
  </si>
  <si>
    <t>Source / Document</t>
  </si>
  <si>
    <t>URL</t>
  </si>
  <si>
    <t>Used for</t>
  </si>
  <si>
    <t>RIL Q4 FY25 Media Release (financial &amp; operational)</t>
  </si>
  <si>
    <t>https://www.ril.com/sites/default/files/2025-04/25042025_Media_Release_RIL_Q4_FY2024_25_Financial_and_Operational_Performance.pdf</t>
  </si>
  <si>
    <t>FY25 capex, CFO, EBITDA, cash, net debt, equity, RRVL &amp; Jio KPIs</t>
  </si>
  <si>
    <t>RIL 4Q FY25 Analyst Presentation</t>
  </si>
  <si>
    <t>https://www.ril.com/sites/default/files/2025-04/RIL_4Q_FY25_Analyst_Presentation_25Apr25.pdf</t>
  </si>
  <si>
    <t>Cash profit vs capex history, segment EBITDA</t>
  </si>
  <si>
    <t>RIL FY24-25 Consolidated Financial Statements</t>
  </si>
  <si>
    <t>https://www.ril.com/ar2024-25/pdf/Consolidated-Financial-Statements.pdf</t>
  </si>
  <si>
    <t>Consolidated revenue &amp; cash flow detail</t>
  </si>
  <si>
    <t>RIL New Energy business page</t>
  </si>
  <si>
    <t>https://www.ril.com/businesses/new-energy-materials</t>
  </si>
  <si>
    <t>Project 1 strategy: solar + battery giga-complex</t>
  </si>
  <si>
    <t>Business Standard — RIL Rs 1.5 trillion New Energy/petrochem</t>
  </si>
  <si>
    <t>https://www.business-standard.com/companies/news/ril-to-invest-rs-1-5-trillion-in-new-energy-petrochemical-expansion-125042700198_1.html</t>
  </si>
  <si>
    <t>New Energy capex plan; +Rs 6,000 cr EBITDA</t>
  </si>
  <si>
    <t>ESS News — 40 GWh battery gigafactory 2026</t>
  </si>
  <si>
    <t>https://www.ess-news.com/2025/09/01/reliance-industries-to-launch-40-gwh-battery-gigafactory-in-2026/</t>
  </si>
  <si>
    <t>Battery capacity 40→100 GWh</t>
  </si>
  <si>
    <t>Economic Times — Jio 5G capex peaked FY24</t>
  </si>
  <si>
    <t>https://economictimes.indiatimes.com/industry/telecom/telecom-news/amid-monetisation-issues-reliance-jio-puts-5g-expansion-in-slow-lane-to-focus-on-upgrading-4g-users/articleshow/113992507.cms</t>
  </si>
  <si>
    <t>Capex moderation freeing reinvestment capacity</t>
  </si>
  <si>
    <t>ICICI Direct — Jio Rs 2 lakh crore 5G capex</t>
  </si>
  <si>
    <t>https://www.icicidirect.com/research/equity/trending-news/reliance-jio-commits-rs-2-lakh-crore-capex-on-5g</t>
  </si>
  <si>
    <t>Project 2 scale &amp; 5G investment context</t>
  </si>
  <si>
    <t>Omdia — 5G FWA 150m subscriptions by 2030</t>
  </si>
  <si>
    <t>https://omdia.tech.informa.com/pr/2025/oct/5g-fixed-wireless-access-to-reach-150-million-subscriptions-globally-by-2030</t>
  </si>
  <si>
    <t>Project 2 FWA market growth basis</t>
  </si>
  <si>
    <t>Jio 5G FWA solutions (product)</t>
  </si>
  <si>
    <t>https://www.jio.com/platforms/industries/5g-fixed-wireless-access/</t>
  </si>
  <si>
    <t>Project 2 product/offering</t>
  </si>
  <si>
    <t>Reuters — RIL green energy analyst optimism</t>
  </si>
  <si>
    <t>https://www.reuters.com/sustainability/climate-energy/reliances-green-energy-expansion-sparks-analyst-optimism-2025-07-21/</t>
  </si>
  <si>
    <t>Project 1 market sentiment &amp; economics</t>
  </si>
  <si>
    <t>Perplexity Finance (FMP) — RELIANCE.NS financials</t>
  </si>
  <si>
    <t>https://www.perplexity.ai/finance/RELIANCE.NS</t>
  </si>
  <si>
    <t>FY23-26 CFO, capex, FCF, EBITDA, balance sheet, equity, net debt</t>
  </si>
  <si>
    <t>RIL Annual Report FY24 (capex Rs 1.32 lakh cr)</t>
  </si>
  <si>
    <t>https://economictimes.indiatimes.com/news/company/corporate-trends/reliance-annual-report-ril-has-consolidated-balancesheet-and-is-ready-for-next-level-of-growth-says-ambani/articleshow/112343773.cms</t>
  </si>
  <si>
    <t>FY24 capex covered by internal cash</t>
  </si>
  <si>
    <t>Note: RIL reports fiscal years ending 31 March. 'Analyst est.' assumptions (project revenue, margins, growth) are the modeller's estimates derived from the sourced strategy and sector benchmarks above, not RIL guidance. 1 crore = 10 million; 1 lakh crore = 1 trillion.</t>
  </si>
  <si>
    <t>≈11.2%  — see NPV &amp; IRR tab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</si>
</sst>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;\(#,##0\);\-"/>
    <numFmt numFmtId="165" formatCode="0.0%"/>
    <numFmt numFmtId="166" formatCode="0.00\x"/>
    <numFmt numFmtId="167" formatCode="0.0\x"/>
    <numFmt numFmtId="168" formatCode="0.000"/>
  </numFmts>
  <fonts count="17" x14ac:knownFonts="1">
    <font>
      <sz val="11"/>
      <color theme="1"/>
      <name val="Calibri"/>
      <family val="2"/>
      <charset val="1"/>
    </font>
    <font>
      <b/>
      <sz val="26"/>
      <color rgb="FFFFFFFF"/>
      <name val="Calibri"/>
      <charset val="1"/>
    </font>
    <font>
      <b/>
      <sz val="10"/>
      <color rgb="FF000000"/>
      <name val="Calibri"/>
      <charset val="1"/>
    </font>
    <font>
      <sz val="10"/>
      <color rgb="FF000000"/>
      <name val="Calibri"/>
      <charset val="1"/>
    </font>
    <font>
      <i/>
      <sz val="8"/>
      <color rgb="FF666666"/>
      <name val="Calibri"/>
      <charset val="1"/>
    </font>
    <font>
      <b/>
      <sz val="16"/>
      <color rgb="FFFFFFFF"/>
      <name val="Calibri"/>
      <charset val="1"/>
    </font>
    <font>
      <b/>
      <sz val="14"/>
      <color rgb="FF0B2545"/>
      <name val="Calibri"/>
      <charset val="1"/>
    </font>
    <font>
      <b/>
      <sz val="10"/>
      <color rgb="FFFFFFFF"/>
      <name val="Calibri"/>
      <charset val="1"/>
    </font>
    <font>
      <sz val="10"/>
      <color rgb="FF008000"/>
      <name val="Calibri"/>
      <charset val="1"/>
    </font>
    <font>
      <b/>
      <sz val="14"/>
      <color rgb="FFFFFFFF"/>
      <name val="Calibri"/>
      <charset val="1"/>
    </font>
    <font>
      <sz val="10"/>
      <color rgb="FF0000FF"/>
      <name val="Calibri"/>
      <charset val="1"/>
    </font>
    <font>
      <b/>
      <sz val="11"/>
      <color rgb="FF000000"/>
      <name val="Calibri"/>
      <charset val="1"/>
    </font>
    <font>
      <b/>
      <sz val="13"/>
      <color rgb="FFFFFFFF"/>
      <name val="Calibri"/>
      <charset val="1"/>
    </font>
    <font>
      <b/>
      <sz val="11"/>
      <name val="Calibri"/>
      <charset val="1"/>
    </font>
    <font>
      <b/>
      <sz val="12"/>
      <name val="Calibri"/>
      <charset val="1"/>
    </font>
    <font>
      <u/>
      <sz val="9"/>
      <color rgb="FF0563C1"/>
      <name val="Calibri"/>
      <charset val="1"/>
    </font>
    <font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B2545"/>
        <bgColor rgb="FF333333"/>
      </patternFill>
    </fill>
    <fill>
      <patternFill patternType="solid">
        <fgColor rgb="FFEAF1F4"/>
        <bgColor rgb="FFFFFFFF"/>
      </patternFill>
    </fill>
    <fill>
      <patternFill patternType="solid">
        <fgColor rgb="FF20808D"/>
        <bgColor rgb="FF008080"/>
      </patternFill>
    </fill>
    <fill>
      <patternFill patternType="solid">
        <fgColor rgb="FFFFF6CC"/>
        <bgColor rgb="FFEAF1F4"/>
      </patternFill>
    </fill>
  </fills>
  <borders count="3">
    <border>
      <left/>
      <right/>
      <top/>
      <bottom/>
      <diagonal/>
    </border>
    <border>
      <left/>
      <right/>
      <top/>
      <bottom style="thin">
        <color rgb="FFBFC9D1"/>
      </bottom>
      <diagonal/>
    </border>
    <border>
      <left style="thin">
        <color rgb="FFBFC9D1"/>
      </left>
      <right style="thin">
        <color rgb="FFBFC9D1"/>
      </right>
      <top style="thin">
        <color rgb="FFBFC9D1"/>
      </top>
      <bottom style="thin">
        <color rgb="FFBFC9D1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4" fillId="0" borderId="0" xfId="0" applyFont="1" applyAlignment="1">
      <alignment wrapText="1"/>
    </xf>
    <xf numFmtId="0" fontId="4" fillId="0" borderId="0" xfId="0" applyFont="1" applyAlignment="1">
      <alignment horizontal="left" wrapText="1"/>
    </xf>
    <xf numFmtId="0" fontId="3" fillId="0" borderId="0" xfId="0" applyFont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3" fillId="0" borderId="2" xfId="0" applyFont="1" applyBorder="1"/>
    <xf numFmtId="0" fontId="7" fillId="4" borderId="0" xfId="0" applyFont="1" applyFill="1"/>
    <xf numFmtId="0" fontId="3" fillId="0" borderId="1" xfId="0" applyFont="1" applyBorder="1" applyAlignment="1">
      <alignment vertical="top" wrapText="1"/>
    </xf>
    <xf numFmtId="0" fontId="3" fillId="0" borderId="0" xfId="0" applyFont="1" applyAlignment="1">
      <alignment wrapText="1"/>
    </xf>
    <xf numFmtId="0" fontId="3" fillId="0" borderId="1" xfId="0" applyFont="1" applyBorder="1" applyAlignment="1">
      <alignment horizontal="left"/>
    </xf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/>
    <xf numFmtId="0" fontId="0" fillId="0" borderId="1" xfId="0" applyBorder="1"/>
    <xf numFmtId="0" fontId="4" fillId="0" borderId="0" xfId="0" applyFont="1"/>
    <xf numFmtId="0" fontId="5" fillId="2" borderId="0" xfId="0" applyFont="1" applyFill="1" applyAlignment="1">
      <alignment horizontal="left" vertical="center"/>
    </xf>
    <xf numFmtId="0" fontId="0" fillId="2" borderId="0" xfId="0" applyFill="1"/>
    <xf numFmtId="0" fontId="6" fillId="3" borderId="0" xfId="0" applyFont="1" applyFill="1"/>
    <xf numFmtId="0" fontId="0" fillId="3" borderId="0" xfId="0" applyFill="1"/>
    <xf numFmtId="0" fontId="7" fillId="4" borderId="0" xfId="0" applyFont="1" applyFill="1" applyAlignment="1">
      <alignment horizontal="center"/>
    </xf>
    <xf numFmtId="0" fontId="2" fillId="0" borderId="2" xfId="0" applyFont="1" applyBorder="1"/>
    <xf numFmtId="164" fontId="8" fillId="0" borderId="2" xfId="0" applyNumberFormat="1" applyFont="1" applyBorder="1" applyAlignment="1">
      <alignment horizontal="center"/>
    </xf>
    <xf numFmtId="0" fontId="2" fillId="3" borderId="2" xfId="0" applyFont="1" applyFill="1" applyBorder="1"/>
    <xf numFmtId="164" fontId="8" fillId="3" borderId="2" xfId="0" applyNumberFormat="1" applyFont="1" applyFill="1" applyBorder="1" applyAlignment="1">
      <alignment horizontal="center"/>
    </xf>
    <xf numFmtId="165" fontId="8" fillId="3" borderId="2" xfId="0" applyNumberFormat="1" applyFont="1" applyFill="1" applyBorder="1" applyAlignment="1">
      <alignment horizontal="center"/>
    </xf>
    <xf numFmtId="165" fontId="8" fillId="0" borderId="2" xfId="0" applyNumberFormat="1" applyFont="1" applyBorder="1" applyAlignment="1">
      <alignment horizontal="center"/>
    </xf>
    <xf numFmtId="166" fontId="8" fillId="0" borderId="2" xfId="0" applyNumberFormat="1" applyFont="1" applyBorder="1" applyAlignment="1">
      <alignment horizontal="center"/>
    </xf>
    <xf numFmtId="0" fontId="9" fillId="2" borderId="0" xfId="0" applyFont="1" applyFill="1" applyAlignment="1">
      <alignment horizontal="left" vertical="center"/>
    </xf>
    <xf numFmtId="0" fontId="7" fillId="4" borderId="0" xfId="0" applyFont="1" applyFill="1" applyAlignment="1">
      <alignment horizontal="left"/>
    </xf>
    <xf numFmtId="164" fontId="10" fillId="0" borderId="2" xfId="0" applyNumberFormat="1" applyFont="1" applyBorder="1"/>
    <xf numFmtId="0" fontId="4" fillId="0" borderId="0" xfId="0" applyFont="1" applyAlignment="1">
      <alignment horizontal="left" wrapText="1"/>
    </xf>
    <xf numFmtId="164" fontId="3" fillId="0" borderId="2" xfId="0" applyNumberFormat="1" applyFont="1" applyBorder="1"/>
    <xf numFmtId="0" fontId="7" fillId="4" borderId="0" xfId="0" applyFont="1" applyFill="1"/>
    <xf numFmtId="167" fontId="3" fillId="0" borderId="2" xfId="0" applyNumberFormat="1" applyFont="1" applyBorder="1" applyAlignment="1">
      <alignment horizontal="center"/>
    </xf>
    <xf numFmtId="0" fontId="3" fillId="0" borderId="2" xfId="0" applyFont="1" applyBorder="1"/>
    <xf numFmtId="165" fontId="3" fillId="0" borderId="2" xfId="0" applyNumberFormat="1" applyFont="1" applyBorder="1" applyAlignment="1">
      <alignment horizontal="center"/>
    </xf>
    <xf numFmtId="164" fontId="3" fillId="0" borderId="2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4" fillId="0" borderId="2" xfId="0" applyFont="1" applyBorder="1" applyAlignment="1">
      <alignment horizontal="left" wrapText="1"/>
    </xf>
    <xf numFmtId="0" fontId="11" fillId="5" borderId="2" xfId="0" applyFont="1" applyFill="1" applyBorder="1" applyAlignment="1">
      <alignment horizontal="center"/>
    </xf>
    <xf numFmtId="0" fontId="11" fillId="5" borderId="2" xfId="0" applyFont="1" applyFill="1" applyBorder="1"/>
    <xf numFmtId="164" fontId="11" fillId="5" borderId="2" xfId="0" applyNumberFormat="1" applyFont="1" applyFill="1" applyBorder="1"/>
    <xf numFmtId="0" fontId="7" fillId="4" borderId="0" xfId="0" applyFont="1" applyFill="1" applyAlignment="1">
      <alignment horizontal="left" wrapText="1"/>
    </xf>
    <xf numFmtId="0" fontId="7" fillId="4" borderId="0" xfId="0" applyFont="1" applyFill="1" applyAlignment="1">
      <alignment horizontal="center" wrapText="1"/>
    </xf>
    <xf numFmtId="1" fontId="10" fillId="0" borderId="2" xfId="0" applyNumberFormat="1" applyFont="1" applyBorder="1" applyAlignment="1">
      <alignment horizontal="center"/>
    </xf>
    <xf numFmtId="164" fontId="10" fillId="0" borderId="2" xfId="0" applyNumberFormat="1" applyFont="1" applyBorder="1" applyAlignment="1">
      <alignment horizontal="center"/>
    </xf>
    <xf numFmtId="165" fontId="10" fillId="0" borderId="2" xfId="0" applyNumberFormat="1" applyFont="1" applyBorder="1" applyAlignment="1">
      <alignment horizontal="center"/>
    </xf>
    <xf numFmtId="0" fontId="12" fillId="2" borderId="0" xfId="0" applyFont="1" applyFill="1" applyAlignment="1">
      <alignment horizontal="left" vertical="center"/>
    </xf>
    <xf numFmtId="0" fontId="2" fillId="0" borderId="0" xfId="0" applyFont="1"/>
    <xf numFmtId="164" fontId="8" fillId="0" borderId="0" xfId="0" applyNumberFormat="1" applyFont="1"/>
    <xf numFmtId="164" fontId="0" fillId="0" borderId="0" xfId="0" applyNumberFormat="1"/>
    <xf numFmtId="164" fontId="3" fillId="0" borderId="0" xfId="0" applyNumberFormat="1" applyFont="1"/>
    <xf numFmtId="165" fontId="0" fillId="0" borderId="0" xfId="0" applyNumberFormat="1"/>
    <xf numFmtId="165" fontId="8" fillId="0" borderId="0" xfId="0" applyNumberFormat="1" applyFont="1"/>
    <xf numFmtId="168" fontId="3" fillId="0" borderId="0" xfId="0" applyNumberFormat="1" applyFont="1"/>
    <xf numFmtId="0" fontId="2" fillId="5" borderId="0" xfId="0" applyFont="1" applyFill="1"/>
    <xf numFmtId="164" fontId="13" fillId="5" borderId="0" xfId="0" applyNumberFormat="1" applyFont="1" applyFill="1"/>
    <xf numFmtId="165" fontId="13" fillId="5" borderId="0" xfId="0" applyNumberFormat="1" applyFont="1" applyFill="1"/>
    <xf numFmtId="0" fontId="3" fillId="0" borderId="0" xfId="0" applyFont="1"/>
    <xf numFmtId="165" fontId="14" fillId="5" borderId="0" xfId="0" applyNumberFormat="1" applyFont="1" applyFill="1"/>
    <xf numFmtId="2" fontId="10" fillId="0" borderId="2" xfId="0" applyNumberFormat="1" applyFont="1" applyBorder="1" applyAlignment="1">
      <alignment horizontal="center"/>
    </xf>
    <xf numFmtId="0" fontId="4" fillId="0" borderId="2" xfId="0" applyFont="1" applyBorder="1"/>
    <xf numFmtId="166" fontId="3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vertical="top" wrapText="1"/>
    </xf>
    <xf numFmtId="0" fontId="15" fillId="0" borderId="2" xfId="0" applyFont="1" applyBorder="1" applyAlignment="1">
      <alignment vertical="top" wrapText="1"/>
    </xf>
    <xf numFmtId="0" fontId="16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0808D"/>
      <rgbColor rgb="FFBFC9D1"/>
      <rgbColor rgb="FF808080"/>
      <rgbColor rgb="FF9999FF"/>
      <rgbColor rgb="FF993366"/>
      <rgbColor rgb="FFFFF6CC"/>
      <rgbColor rgb="FFEAF1F4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B2545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cicidirect.com/research/equity/trending-news/reliance-jio-commits-rs-2-lakh-crore-capex-on-5g" TargetMode="External"/><Relationship Id="rId13" Type="http://schemas.openxmlformats.org/officeDocument/2006/relationships/hyperlink" Target="https://economictimes.indiatimes.com/news/company/corporate-trends/reliance-annual-report-ril-has-consolidated-balancesheet-and-is-ready-for-next-level-of-growth-says-ambani/articleshow/112343773.cms" TargetMode="External"/><Relationship Id="rId3" Type="http://schemas.openxmlformats.org/officeDocument/2006/relationships/hyperlink" Target="https://www.ril.com/ar2024-25/pdf/Consolidated-Financial-Statements.pdf" TargetMode="External"/><Relationship Id="rId7" Type="http://schemas.openxmlformats.org/officeDocument/2006/relationships/hyperlink" Target="https://economictimes.indiatimes.com/industry/telecom/telecom-news/amid-monetisation-issues-reliance-jio-puts-5g-expansion-in-slow-lane-to-focus-on-upgrading-4g-users/articleshow/113992507.cms" TargetMode="External"/><Relationship Id="rId12" Type="http://schemas.openxmlformats.org/officeDocument/2006/relationships/hyperlink" Target="https://www.perplexity.ai/finance/RELIANCE.NS" TargetMode="External"/><Relationship Id="rId2" Type="http://schemas.openxmlformats.org/officeDocument/2006/relationships/hyperlink" Target="https://www.ril.com/sites/default/files/2025-04/RIL_4Q_FY25_Analyst_Presentation_25Apr25.pdf" TargetMode="External"/><Relationship Id="rId1" Type="http://schemas.openxmlformats.org/officeDocument/2006/relationships/hyperlink" Target="https://www.ril.com/sites/default/files/2025-04/25042025_Media_Release_RIL_Q4_FY2024_25_Financial_and_Operational_Performance.pdf" TargetMode="External"/><Relationship Id="rId6" Type="http://schemas.openxmlformats.org/officeDocument/2006/relationships/hyperlink" Target="https://www.ess-news.com/2025/09/01/reliance-industries-to-launch-40-gwh-battery-gigafactory-in-2026/" TargetMode="External"/><Relationship Id="rId11" Type="http://schemas.openxmlformats.org/officeDocument/2006/relationships/hyperlink" Target="https://www.reuters.com/sustainability/climate-energy/reliances-green-energy-expansion-sparks-analyst-optimism-2025-07-21/" TargetMode="External"/><Relationship Id="rId5" Type="http://schemas.openxmlformats.org/officeDocument/2006/relationships/hyperlink" Target="https://www.business-standard.com/companies/news/ril-to-invest-rs-1-5-trillion-in-new-energy-petrochemical-expansion-125042700198_1.html" TargetMode="External"/><Relationship Id="rId10" Type="http://schemas.openxmlformats.org/officeDocument/2006/relationships/hyperlink" Target="https://www.jio.com/platforms/industries/5g-fixed-wireless-access/" TargetMode="External"/><Relationship Id="rId4" Type="http://schemas.openxmlformats.org/officeDocument/2006/relationships/hyperlink" Target="https://www.ril.com/businesses/new-energy-materials" TargetMode="External"/><Relationship Id="rId9" Type="http://schemas.openxmlformats.org/officeDocument/2006/relationships/hyperlink" Target="https://omdia.tech.informa.com/pr/2025/oct/5g-fixed-wireless-access-to-reach-150-million-subscriptions-globally-by-203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15"/>
  <sheetViews>
    <sheetView showGridLines="0" zoomScaleNormal="100" workbookViewId="0">
      <selection activeCell="H29" sqref="H29"/>
    </sheetView>
  </sheetViews>
  <sheetFormatPr baseColWidth="10" defaultColWidth="8.6640625" defaultRowHeight="15" x14ac:dyDescent="0.2"/>
  <cols>
    <col min="1" max="1" width="3" customWidth="1"/>
    <col min="2" max="10" width="13" customWidth="1"/>
  </cols>
  <sheetData>
    <row r="2" spans="2:10" ht="15" customHeight="1" x14ac:dyDescent="0.2">
      <c r="B2" s="10" t="s">
        <v>0</v>
      </c>
      <c r="C2" s="10"/>
      <c r="D2" s="10"/>
      <c r="E2" s="10"/>
      <c r="F2" s="10"/>
      <c r="G2" s="10"/>
      <c r="H2" s="10"/>
      <c r="I2" s="10"/>
      <c r="J2" s="10"/>
    </row>
    <row r="3" spans="2:10" ht="15" customHeight="1" x14ac:dyDescent="0.2">
      <c r="B3" s="10"/>
      <c r="C3" s="10"/>
      <c r="D3" s="10"/>
      <c r="E3" s="10"/>
      <c r="F3" s="10"/>
      <c r="G3" s="10"/>
      <c r="H3" s="10"/>
      <c r="I3" s="10"/>
      <c r="J3" s="10"/>
    </row>
    <row r="4" spans="2:10" ht="15" customHeight="1" x14ac:dyDescent="0.2">
      <c r="B4" s="10"/>
      <c r="C4" s="10"/>
      <c r="D4" s="10"/>
      <c r="E4" s="10"/>
      <c r="F4" s="10"/>
      <c r="G4" s="10"/>
      <c r="H4" s="10"/>
      <c r="I4" s="10"/>
      <c r="J4" s="10"/>
    </row>
    <row r="5" spans="2:10" ht="15" customHeight="1" x14ac:dyDescent="0.2">
      <c r="B5" s="10"/>
      <c r="C5" s="10"/>
      <c r="D5" s="10"/>
      <c r="E5" s="10"/>
      <c r="F5" s="10"/>
      <c r="G5" s="10"/>
      <c r="H5" s="10"/>
      <c r="I5" s="10"/>
      <c r="J5" s="10"/>
    </row>
    <row r="6" spans="2:10" ht="15" customHeight="1" x14ac:dyDescent="0.2">
      <c r="B6" s="10"/>
      <c r="C6" s="10"/>
      <c r="D6" s="10"/>
      <c r="E6" s="10"/>
      <c r="F6" s="10"/>
      <c r="G6" s="10"/>
      <c r="H6" s="10"/>
      <c r="I6" s="10"/>
      <c r="J6" s="10"/>
    </row>
    <row r="7" spans="2:10" ht="15" customHeight="1" x14ac:dyDescent="0.2">
      <c r="B7" s="10"/>
      <c r="C7" s="10"/>
      <c r="D7" s="10"/>
      <c r="E7" s="10"/>
      <c r="F7" s="10"/>
      <c r="G7" s="10"/>
      <c r="H7" s="10"/>
      <c r="I7" s="10"/>
      <c r="J7" s="10"/>
    </row>
    <row r="8" spans="2:10" ht="15" customHeight="1" x14ac:dyDescent="0.2">
      <c r="B8" s="10"/>
      <c r="C8" s="10"/>
      <c r="D8" s="10"/>
      <c r="E8" s="10"/>
      <c r="F8" s="10"/>
      <c r="G8" s="10"/>
      <c r="H8" s="10"/>
      <c r="I8" s="10"/>
      <c r="J8" s="10"/>
    </row>
    <row r="10" spans="2:10" ht="15" customHeight="1" x14ac:dyDescent="0.2">
      <c r="B10" s="11" t="s">
        <v>1</v>
      </c>
      <c r="C10" s="12"/>
      <c r="D10" s="9" t="s">
        <v>2</v>
      </c>
      <c r="E10" s="9"/>
      <c r="F10" s="9"/>
      <c r="G10" s="9"/>
      <c r="H10" s="9"/>
      <c r="I10" s="9"/>
      <c r="J10" s="9"/>
    </row>
    <row r="11" spans="2:10" ht="15" customHeight="1" x14ac:dyDescent="0.2">
      <c r="B11" s="11" t="s">
        <v>3</v>
      </c>
      <c r="C11" s="12"/>
      <c r="D11" s="9" t="s">
        <v>4</v>
      </c>
      <c r="E11" s="9"/>
      <c r="F11" s="9"/>
      <c r="G11" s="9"/>
      <c r="H11" s="9"/>
      <c r="I11" s="9"/>
      <c r="J11" s="9"/>
    </row>
    <row r="12" spans="2:10" ht="15" customHeight="1" x14ac:dyDescent="0.2">
      <c r="B12" s="11" t="s">
        <v>5</v>
      </c>
      <c r="C12" s="12"/>
      <c r="D12" s="9" t="s">
        <v>6</v>
      </c>
      <c r="E12" s="9"/>
      <c r="F12" s="9"/>
      <c r="G12" s="9"/>
      <c r="H12" s="9"/>
      <c r="I12" s="9"/>
      <c r="J12" s="9"/>
    </row>
    <row r="13" spans="2:10" ht="15" customHeight="1" x14ac:dyDescent="0.2">
      <c r="B13" s="11" t="s">
        <v>7</v>
      </c>
      <c r="C13" s="12"/>
      <c r="D13" s="9" t="s">
        <v>8</v>
      </c>
      <c r="E13" s="9"/>
      <c r="F13" s="9"/>
      <c r="G13" s="9"/>
      <c r="H13" s="9"/>
      <c r="I13" s="9"/>
      <c r="J13" s="9"/>
    </row>
    <row r="14" spans="2:10" ht="15" customHeight="1" x14ac:dyDescent="0.2">
      <c r="B14" s="11" t="s">
        <v>9</v>
      </c>
      <c r="C14" s="12"/>
      <c r="D14" s="9" t="s">
        <v>10</v>
      </c>
      <c r="E14" s="9"/>
      <c r="F14" s="9"/>
      <c r="G14" s="9"/>
      <c r="H14" s="9"/>
      <c r="I14" s="9"/>
      <c r="J14" s="9"/>
    </row>
    <row r="15" spans="2:10" ht="15" customHeight="1" x14ac:dyDescent="0.2">
      <c r="B15" s="11" t="s">
        <v>11</v>
      </c>
      <c r="C15" s="12"/>
      <c r="D15" s="65" t="s">
        <v>250</v>
      </c>
      <c r="E15" s="9"/>
      <c r="F15" s="9"/>
      <c r="G15" s="9"/>
      <c r="H15" s="9"/>
      <c r="I15" s="9"/>
      <c r="J15" s="9"/>
    </row>
  </sheetData>
  <mergeCells count="7">
    <mergeCell ref="D11:J11"/>
    <mergeCell ref="D12:J12"/>
    <mergeCell ref="D13:J13"/>
    <mergeCell ref="D14:J14"/>
    <mergeCell ref="D15:J15"/>
    <mergeCell ref="B2:J8"/>
    <mergeCell ref="D10:J1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K22"/>
  <sheetViews>
    <sheetView showGridLines="0" topLeftCell="A4" zoomScaleNormal="100" workbookViewId="0"/>
  </sheetViews>
  <sheetFormatPr baseColWidth="10" defaultColWidth="8.6640625" defaultRowHeight="15" x14ac:dyDescent="0.2"/>
  <cols>
    <col min="1" max="1" width="3" customWidth="1"/>
    <col min="2" max="2" width="34" customWidth="1"/>
    <col min="3" max="5" width="18" customWidth="1"/>
    <col min="6" max="6" width="6" customWidth="1"/>
    <col min="7" max="7" width="50" customWidth="1"/>
  </cols>
  <sheetData>
    <row r="2" spans="2:11" ht="19.5" customHeight="1" x14ac:dyDescent="0.2">
      <c r="B2" s="14" t="s">
        <v>12</v>
      </c>
      <c r="C2" s="15"/>
      <c r="D2" s="15"/>
      <c r="E2" s="15"/>
      <c r="F2" s="15"/>
      <c r="G2" s="15"/>
    </row>
    <row r="4" spans="2:11" ht="33.75" customHeight="1" x14ac:dyDescent="0.2">
      <c r="B4" s="8" t="s">
        <v>13</v>
      </c>
      <c r="C4" s="8"/>
      <c r="D4" s="8"/>
      <c r="E4" s="8"/>
      <c r="F4" s="8"/>
      <c r="G4" s="8"/>
    </row>
    <row r="6" spans="2:11" ht="17.25" customHeight="1" x14ac:dyDescent="0.25">
      <c r="B6" s="16" t="s">
        <v>14</v>
      </c>
      <c r="C6" s="17"/>
      <c r="D6" s="17"/>
      <c r="E6" s="17"/>
      <c r="F6" s="17"/>
      <c r="G6" s="17"/>
      <c r="H6" s="17"/>
      <c r="I6" s="17"/>
      <c r="J6" s="17"/>
      <c r="K6" s="17"/>
    </row>
    <row r="7" spans="2:11" ht="15" customHeight="1" x14ac:dyDescent="0.2">
      <c r="B7" s="18"/>
      <c r="C7" s="18" t="s">
        <v>15</v>
      </c>
      <c r="D7" s="18" t="s">
        <v>16</v>
      </c>
      <c r="E7" s="18" t="s">
        <v>17</v>
      </c>
    </row>
    <row r="8" spans="2:11" ht="15" customHeight="1" x14ac:dyDescent="0.2">
      <c r="B8" s="19" t="s">
        <v>18</v>
      </c>
      <c r="C8" s="20">
        <f>'NPV &amp; IRR'!C20</f>
        <v>30000</v>
      </c>
      <c r="D8" s="20">
        <f>'NPV &amp; IRR'!D20</f>
        <v>30000</v>
      </c>
      <c r="E8" s="20">
        <f>'NPV &amp; IRR'!E20</f>
        <v>30000</v>
      </c>
    </row>
    <row r="9" spans="2:11" ht="15" customHeight="1" x14ac:dyDescent="0.2">
      <c r="B9" s="21" t="s">
        <v>19</v>
      </c>
      <c r="C9" s="22">
        <f>'NPV &amp; IRR'!C21</f>
        <v>4681.7370355703351</v>
      </c>
      <c r="D9" s="22">
        <f>'NPV &amp; IRR'!D21</f>
        <v>23835.106524760035</v>
      </c>
      <c r="E9" s="22">
        <f>'NPV &amp; IRR'!E21</f>
        <v>-7177.9425314059554</v>
      </c>
    </row>
    <row r="10" spans="2:11" ht="15" customHeight="1" x14ac:dyDescent="0.2">
      <c r="B10" s="21" t="s">
        <v>20</v>
      </c>
      <c r="C10" s="23">
        <f>'NPV &amp; IRR'!C23</f>
        <v>0.14773103965730616</v>
      </c>
      <c r="D10" s="23">
        <f>'NPV &amp; IRR'!D23</f>
        <v>0.26746997568972142</v>
      </c>
      <c r="E10" s="23">
        <f>'NPV &amp; IRR'!E23</f>
        <v>5.1798093407533718E-2</v>
      </c>
    </row>
    <row r="11" spans="2:11" ht="15" customHeight="1" x14ac:dyDescent="0.2">
      <c r="B11" s="19" t="s">
        <v>21</v>
      </c>
      <c r="C11" s="24">
        <f>'NPV &amp; IRR'!C24</f>
        <v>3.5265039657306152E-2</v>
      </c>
      <c r="D11" s="24">
        <f>'NPV &amp; IRR'!D24</f>
        <v>0.15500397568972141</v>
      </c>
      <c r="E11" s="24">
        <f>'NPV &amp; IRR'!E24</f>
        <v>-6.0667906592466292E-2</v>
      </c>
    </row>
    <row r="12" spans="2:11" ht="15" customHeight="1" x14ac:dyDescent="0.2">
      <c r="B12" s="19" t="s">
        <v>22</v>
      </c>
      <c r="C12" s="25">
        <f>'NPV &amp; IRR'!C25</f>
        <v>1.1560579011856777</v>
      </c>
      <c r="D12" s="25">
        <f>'NPV &amp; IRR'!D25</f>
        <v>1.7945035508253344</v>
      </c>
      <c r="E12" s="25">
        <f>'NPV &amp; IRR'!E25</f>
        <v>0.76073524895313482</v>
      </c>
    </row>
    <row r="14" spans="2:11" ht="17.25" customHeight="1" x14ac:dyDescent="0.25">
      <c r="B14" s="16" t="s">
        <v>23</v>
      </c>
      <c r="C14" s="17"/>
      <c r="D14" s="17"/>
      <c r="E14" s="17"/>
      <c r="F14" s="17"/>
      <c r="G14" s="17"/>
      <c r="H14" s="17"/>
      <c r="I14" s="17"/>
      <c r="J14" s="17"/>
      <c r="K14" s="17"/>
    </row>
    <row r="15" spans="2:11" ht="30" customHeight="1" x14ac:dyDescent="0.2">
      <c r="B15" s="11" t="s">
        <v>24</v>
      </c>
      <c r="C15" s="7" t="s">
        <v>25</v>
      </c>
      <c r="D15" s="7"/>
      <c r="E15" s="7"/>
      <c r="F15" s="7"/>
      <c r="G15" s="7"/>
    </row>
    <row r="16" spans="2:11" ht="30" customHeight="1" x14ac:dyDescent="0.2">
      <c r="B16" s="11" t="s">
        <v>26</v>
      </c>
      <c r="C16" s="7" t="s">
        <v>27</v>
      </c>
      <c r="D16" s="7"/>
      <c r="E16" s="7"/>
      <c r="F16" s="7"/>
      <c r="G16" s="7"/>
    </row>
    <row r="17" spans="2:7" ht="30" customHeight="1" x14ac:dyDescent="0.2">
      <c r="B17" s="11" t="s">
        <v>28</v>
      </c>
      <c r="C17" s="7" t="s">
        <v>29</v>
      </c>
      <c r="D17" s="7"/>
      <c r="E17" s="7"/>
      <c r="F17" s="7"/>
      <c r="G17" s="7"/>
    </row>
    <row r="18" spans="2:7" ht="30" customHeight="1" x14ac:dyDescent="0.2">
      <c r="B18" s="11" t="s">
        <v>30</v>
      </c>
      <c r="C18" s="7" t="s">
        <v>31</v>
      </c>
      <c r="D18" s="7"/>
      <c r="E18" s="7"/>
      <c r="F18" s="7"/>
      <c r="G18" s="7"/>
    </row>
    <row r="19" spans="2:7" ht="30" customHeight="1" x14ac:dyDescent="0.2">
      <c r="B19" s="11" t="s">
        <v>32</v>
      </c>
      <c r="C19" s="7" t="s">
        <v>33</v>
      </c>
      <c r="D19" s="7"/>
      <c r="E19" s="7"/>
      <c r="F19" s="7"/>
      <c r="G19" s="7"/>
    </row>
    <row r="20" spans="2:7" ht="30" customHeight="1" x14ac:dyDescent="0.2">
      <c r="B20" s="11" t="s">
        <v>34</v>
      </c>
      <c r="C20" s="7" t="s">
        <v>35</v>
      </c>
      <c r="D20" s="7"/>
      <c r="E20" s="7"/>
      <c r="F20" s="7"/>
      <c r="G20" s="7"/>
    </row>
    <row r="21" spans="2:7" ht="30" customHeight="1" x14ac:dyDescent="0.2">
      <c r="B21" s="11" t="s">
        <v>36</v>
      </c>
      <c r="C21" s="7" t="s">
        <v>37</v>
      </c>
      <c r="D21" s="7"/>
      <c r="E21" s="7"/>
      <c r="F21" s="7"/>
      <c r="G21" s="7"/>
    </row>
    <row r="22" spans="2:7" ht="30" customHeight="1" x14ac:dyDescent="0.2">
      <c r="B22" s="11" t="s">
        <v>38</v>
      </c>
      <c r="C22" s="7" t="s">
        <v>39</v>
      </c>
      <c r="D22" s="7"/>
      <c r="E22" s="7"/>
      <c r="F22" s="7"/>
      <c r="G22" s="7"/>
    </row>
  </sheetData>
  <mergeCells count="9">
    <mergeCell ref="C19:G19"/>
    <mergeCell ref="C20:G20"/>
    <mergeCell ref="C21:G21"/>
    <mergeCell ref="C22:G22"/>
    <mergeCell ref="B4:G4"/>
    <mergeCell ref="C15:G15"/>
    <mergeCell ref="C16:G16"/>
    <mergeCell ref="C17:G17"/>
    <mergeCell ref="C18:G18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K39"/>
  <sheetViews>
    <sheetView showGridLines="0" tabSelected="1" zoomScaleNormal="100" workbookViewId="0">
      <pane xSplit="1" ySplit="2" topLeftCell="B24" activePane="bottomRight" state="frozen"/>
      <selection pane="topRight" activeCell="B1" sqref="B1"/>
      <selection pane="bottomLeft" activeCell="A3" sqref="A3"/>
      <selection pane="bottomRight" activeCell="C13" sqref="C13"/>
    </sheetView>
  </sheetViews>
  <sheetFormatPr baseColWidth="10" defaultColWidth="8.6640625" defaultRowHeight="15" x14ac:dyDescent="0.2"/>
  <cols>
    <col min="1" max="1" width="3" customWidth="1"/>
    <col min="2" max="2" width="46" customWidth="1"/>
    <col min="3" max="3" width="42.6640625" bestFit="1" customWidth="1"/>
    <col min="4" max="6" width="15" customWidth="1"/>
    <col min="7" max="7" width="51.83203125" bestFit="1" customWidth="1"/>
    <col min="8" max="8" width="52" customWidth="1"/>
  </cols>
  <sheetData>
    <row r="2" spans="2:11" ht="17.25" customHeight="1" x14ac:dyDescent="0.2">
      <c r="B2" s="26" t="s">
        <v>40</v>
      </c>
      <c r="C2" s="15"/>
      <c r="D2" s="15"/>
      <c r="E2" s="15"/>
      <c r="F2" s="15"/>
      <c r="G2" s="15"/>
      <c r="H2" s="15"/>
    </row>
    <row r="4" spans="2:11" ht="17.25" customHeight="1" x14ac:dyDescent="0.25">
      <c r="B4" s="16" t="s">
        <v>41</v>
      </c>
      <c r="C4" s="17"/>
      <c r="D4" s="17"/>
      <c r="E4" s="17"/>
      <c r="F4" s="17"/>
      <c r="G4" s="17"/>
      <c r="H4" s="17"/>
      <c r="I4" s="17"/>
      <c r="J4" s="17"/>
      <c r="K4" s="17"/>
    </row>
    <row r="5" spans="2:11" ht="15" customHeight="1" x14ac:dyDescent="0.2">
      <c r="B5" s="27" t="s">
        <v>42</v>
      </c>
      <c r="C5" s="18" t="s">
        <v>43</v>
      </c>
      <c r="D5" s="18" t="s">
        <v>44</v>
      </c>
      <c r="E5" s="18" t="s">
        <v>45</v>
      </c>
      <c r="F5" s="18" t="s">
        <v>46</v>
      </c>
    </row>
    <row r="6" spans="2:11" ht="20.25" customHeight="1" x14ac:dyDescent="0.2">
      <c r="B6" s="19" t="s">
        <v>47</v>
      </c>
      <c r="C6" s="28">
        <v>104505</v>
      </c>
      <c r="D6" s="28">
        <v>132338</v>
      </c>
      <c r="E6" s="28">
        <v>154124</v>
      </c>
      <c r="F6" s="28">
        <v>174770</v>
      </c>
      <c r="G6" s="29" t="s">
        <v>48</v>
      </c>
    </row>
    <row r="7" spans="2:11" ht="15" customHeight="1" x14ac:dyDescent="0.2">
      <c r="B7" s="19" t="s">
        <v>49</v>
      </c>
      <c r="C7" s="28">
        <v>140988</v>
      </c>
      <c r="D7" s="28">
        <v>152883</v>
      </c>
      <c r="E7" s="28">
        <v>139967</v>
      </c>
      <c r="F7" s="28">
        <v>122916</v>
      </c>
      <c r="G7" s="29" t="s">
        <v>50</v>
      </c>
    </row>
    <row r="8" spans="2:11" ht="15" customHeight="1" x14ac:dyDescent="0.2">
      <c r="B8" s="19" t="s">
        <v>51</v>
      </c>
      <c r="C8" s="30">
        <f>C6-C7</f>
        <v>-36483</v>
      </c>
      <c r="D8" s="30">
        <f>D6-D7</f>
        <v>-20545</v>
      </c>
      <c r="E8" s="30">
        <f>E6-E7</f>
        <v>14157</v>
      </c>
      <c r="F8" s="30">
        <f>F6-F7</f>
        <v>51854</v>
      </c>
      <c r="G8" s="29" t="s">
        <v>52</v>
      </c>
    </row>
    <row r="9" spans="2:11" ht="15" customHeight="1" x14ac:dyDescent="0.2">
      <c r="B9" s="19" t="s">
        <v>53</v>
      </c>
      <c r="C9" s="28">
        <v>40303</v>
      </c>
      <c r="D9" s="28">
        <v>50832</v>
      </c>
      <c r="E9" s="28">
        <v>53136</v>
      </c>
      <c r="F9" s="28">
        <v>57688</v>
      </c>
      <c r="G9" s="29" t="s">
        <v>54</v>
      </c>
    </row>
    <row r="10" spans="2:11" ht="15" customHeight="1" x14ac:dyDescent="0.2">
      <c r="B10" s="19" t="s">
        <v>55</v>
      </c>
      <c r="C10" s="28">
        <v>153307</v>
      </c>
      <c r="D10" s="28">
        <v>178677</v>
      </c>
      <c r="E10" s="28">
        <v>183422</v>
      </c>
      <c r="F10" s="28">
        <v>208055</v>
      </c>
      <c r="G10" s="29" t="s">
        <v>56</v>
      </c>
    </row>
    <row r="11" spans="2:11" ht="15" customHeight="1" x14ac:dyDescent="0.2">
      <c r="B11" s="19" t="s">
        <v>57</v>
      </c>
      <c r="C11" s="28">
        <v>68664</v>
      </c>
      <c r="D11" s="28">
        <v>81179</v>
      </c>
      <c r="E11" s="28">
        <v>52342</v>
      </c>
      <c r="F11" s="28">
        <v>145977</v>
      </c>
      <c r="G11" s="29" t="s">
        <v>58</v>
      </c>
    </row>
    <row r="12" spans="2:11" ht="15" customHeight="1" x14ac:dyDescent="0.2">
      <c r="B12" s="19" t="s">
        <v>59</v>
      </c>
      <c r="C12" s="28">
        <v>334392</v>
      </c>
      <c r="D12" s="28">
        <v>346142</v>
      </c>
      <c r="E12" s="28">
        <v>369575</v>
      </c>
      <c r="F12" s="28">
        <v>398000</v>
      </c>
      <c r="G12" s="29" t="s">
        <v>58</v>
      </c>
    </row>
    <row r="13" spans="2:11" ht="15" customHeight="1" x14ac:dyDescent="0.2">
      <c r="B13" s="19" t="s">
        <v>60</v>
      </c>
      <c r="C13" s="28">
        <v>265728</v>
      </c>
      <c r="D13" s="28">
        <v>264690</v>
      </c>
      <c r="E13" s="28">
        <v>317233</v>
      </c>
      <c r="F13" s="28">
        <v>252023</v>
      </c>
      <c r="G13" s="29" t="s">
        <v>61</v>
      </c>
    </row>
    <row r="14" spans="2:11" ht="15" customHeight="1" x14ac:dyDescent="0.2">
      <c r="B14" s="19" t="s">
        <v>62</v>
      </c>
      <c r="C14" s="28">
        <v>828881</v>
      </c>
      <c r="D14" s="28">
        <v>925788</v>
      </c>
      <c r="E14" s="28">
        <v>1009626</v>
      </c>
      <c r="F14" s="28">
        <v>1081385</v>
      </c>
      <c r="G14" s="29" t="s">
        <v>63</v>
      </c>
    </row>
    <row r="16" spans="2:11" ht="17.25" customHeight="1" x14ac:dyDescent="0.25">
      <c r="B16" s="16" t="s">
        <v>64</v>
      </c>
      <c r="C16" s="17"/>
      <c r="D16" s="17"/>
      <c r="E16" s="17"/>
      <c r="F16" s="17"/>
      <c r="G16" s="17"/>
      <c r="H16" s="17"/>
      <c r="I16" s="17"/>
      <c r="J16" s="17"/>
      <c r="K16" s="17"/>
    </row>
    <row r="17" spans="2:11" ht="15" customHeight="1" x14ac:dyDescent="0.2">
      <c r="B17" s="31" t="s">
        <v>65</v>
      </c>
      <c r="C17" s="31" t="s">
        <v>66</v>
      </c>
      <c r="D17" s="6" t="s">
        <v>67</v>
      </c>
      <c r="E17" s="6"/>
      <c r="F17" s="6"/>
      <c r="G17" s="6"/>
      <c r="H17" s="6"/>
    </row>
    <row r="18" spans="2:11" ht="15" customHeight="1" x14ac:dyDescent="0.2">
      <c r="B18" s="19" t="s">
        <v>68</v>
      </c>
      <c r="C18" s="32">
        <f>F13/F10</f>
        <v>1.2113287351902142</v>
      </c>
      <c r="D18" s="5" t="s">
        <v>69</v>
      </c>
      <c r="E18" s="5"/>
      <c r="F18" s="5"/>
      <c r="G18" s="5"/>
      <c r="H18" s="5"/>
    </row>
    <row r="19" spans="2:11" ht="15" customHeight="1" x14ac:dyDescent="0.2">
      <c r="B19" s="19" t="s">
        <v>70</v>
      </c>
      <c r="C19" s="34">
        <f>F13/F14</f>
        <v>0.23305575720025709</v>
      </c>
      <c r="D19" s="5" t="s">
        <v>71</v>
      </c>
      <c r="E19" s="5"/>
      <c r="F19" s="5"/>
      <c r="G19" s="5"/>
      <c r="H19" s="5"/>
    </row>
    <row r="20" spans="2:11" ht="15" customHeight="1" x14ac:dyDescent="0.2">
      <c r="B20" s="19" t="s">
        <v>72</v>
      </c>
      <c r="C20" s="32">
        <f>F6/F7</f>
        <v>1.4218653389306519</v>
      </c>
      <c r="D20" s="5" t="s">
        <v>73</v>
      </c>
      <c r="E20" s="5"/>
      <c r="F20" s="5"/>
      <c r="G20" s="5"/>
      <c r="H20" s="5"/>
    </row>
    <row r="21" spans="2:11" ht="15" customHeight="1" x14ac:dyDescent="0.2">
      <c r="B21" s="19" t="s">
        <v>74</v>
      </c>
      <c r="C21" s="35">
        <f>F11+(F6-F7)</f>
        <v>197831</v>
      </c>
      <c r="D21" s="5" t="s">
        <v>75</v>
      </c>
      <c r="E21" s="5"/>
      <c r="F21" s="5"/>
      <c r="G21" s="5"/>
      <c r="H21" s="5"/>
    </row>
    <row r="23" spans="2:11" ht="17.25" customHeight="1" x14ac:dyDescent="0.25">
      <c r="B23" s="16" t="s">
        <v>76</v>
      </c>
      <c r="C23" s="17"/>
      <c r="D23" s="17"/>
      <c r="E23" s="17"/>
      <c r="F23" s="17"/>
      <c r="G23" s="17"/>
      <c r="H23" s="17"/>
      <c r="I23" s="17"/>
      <c r="J23" s="17"/>
      <c r="K23" s="17"/>
    </row>
    <row r="24" spans="2:11" ht="15" customHeight="1" x14ac:dyDescent="0.2">
      <c r="B24" s="31" t="s">
        <v>77</v>
      </c>
      <c r="C24" s="31" t="s">
        <v>78</v>
      </c>
      <c r="D24" s="31" t="s">
        <v>79</v>
      </c>
      <c r="E24" s="6" t="s">
        <v>80</v>
      </c>
      <c r="F24" s="6"/>
      <c r="G24" s="6"/>
      <c r="H24" s="6"/>
    </row>
    <row r="25" spans="2:11" ht="15" customHeight="1" x14ac:dyDescent="0.2">
      <c r="B25" s="36" t="s">
        <v>81</v>
      </c>
      <c r="C25" s="33" t="s">
        <v>82</v>
      </c>
      <c r="D25" s="30">
        <f>F6</f>
        <v>174770</v>
      </c>
      <c r="E25" s="4" t="s">
        <v>83</v>
      </c>
      <c r="F25" s="4"/>
      <c r="G25" s="4"/>
      <c r="H25" s="4"/>
    </row>
    <row r="26" spans="2:11" ht="15" customHeight="1" x14ac:dyDescent="0.2">
      <c r="B26" s="36" t="s">
        <v>84</v>
      </c>
      <c r="C26" s="33" t="s">
        <v>85</v>
      </c>
      <c r="D26" s="30">
        <f>-F9</f>
        <v>-57688</v>
      </c>
      <c r="E26" s="4" t="s">
        <v>86</v>
      </c>
      <c r="F26" s="4"/>
      <c r="G26" s="4"/>
      <c r="H26" s="4"/>
    </row>
    <row r="27" spans="2:11" ht="15" customHeight="1" x14ac:dyDescent="0.2">
      <c r="B27" s="36" t="s">
        <v>87</v>
      </c>
      <c r="C27" s="33" t="s">
        <v>88</v>
      </c>
      <c r="D27" s="30">
        <f>D25+D26</f>
        <v>117082</v>
      </c>
      <c r="E27" s="4" t="s">
        <v>89</v>
      </c>
      <c r="F27" s="4"/>
      <c r="G27" s="4"/>
      <c r="H27" s="4"/>
    </row>
    <row r="28" spans="2:11" ht="15" customHeight="1" x14ac:dyDescent="0.2">
      <c r="B28" s="36" t="s">
        <v>90</v>
      </c>
      <c r="C28" s="33" t="s">
        <v>91</v>
      </c>
      <c r="D28" s="30">
        <f>2*F10-F13</f>
        <v>164087</v>
      </c>
      <c r="E28" s="4" t="s">
        <v>92</v>
      </c>
      <c r="F28" s="4"/>
      <c r="G28" s="4"/>
      <c r="H28" s="4"/>
    </row>
    <row r="29" spans="2:11" ht="15" customHeight="1" x14ac:dyDescent="0.2">
      <c r="B29" s="36" t="s">
        <v>93</v>
      </c>
      <c r="C29" s="33" t="s">
        <v>94</v>
      </c>
      <c r="D29" s="30">
        <f>D27+D28</f>
        <v>281169</v>
      </c>
      <c r="E29" s="4" t="s">
        <v>95</v>
      </c>
      <c r="F29" s="4"/>
      <c r="G29" s="4"/>
      <c r="H29" s="4"/>
    </row>
    <row r="30" spans="2:11" ht="15" customHeight="1" x14ac:dyDescent="0.2">
      <c r="B30" s="36" t="s">
        <v>96</v>
      </c>
      <c r="C30" s="33" t="s">
        <v>97</v>
      </c>
      <c r="D30" s="30">
        <f>0.5*D29</f>
        <v>140584.5</v>
      </c>
      <c r="E30" s="4" t="s">
        <v>98</v>
      </c>
      <c r="F30" s="4"/>
      <c r="G30" s="4"/>
      <c r="H30" s="4"/>
    </row>
    <row r="31" spans="2:11" ht="15" customHeight="1" x14ac:dyDescent="0.2">
      <c r="B31" s="36" t="s">
        <v>99</v>
      </c>
      <c r="C31" s="33" t="s">
        <v>100</v>
      </c>
      <c r="D31" s="30">
        <f>D30/3</f>
        <v>46861.5</v>
      </c>
      <c r="E31" s="4" t="s">
        <v>101</v>
      </c>
      <c r="F31" s="4"/>
      <c r="G31" s="4"/>
      <c r="H31" s="4"/>
    </row>
    <row r="32" spans="2:11" ht="15" customHeight="1" x14ac:dyDescent="0.2">
      <c r="B32" s="38" t="s">
        <v>102</v>
      </c>
      <c r="C32" s="39" t="s">
        <v>103</v>
      </c>
      <c r="D32" s="40">
        <v>30000</v>
      </c>
      <c r="E32" s="4" t="s">
        <v>104</v>
      </c>
      <c r="F32" s="4"/>
      <c r="G32" s="4"/>
      <c r="H32" s="4"/>
    </row>
    <row r="34" spans="2:11" ht="17.25" customHeight="1" x14ac:dyDescent="0.25">
      <c r="B34" s="16" t="s">
        <v>105</v>
      </c>
      <c r="C34" s="17"/>
      <c r="D34" s="17"/>
      <c r="E34" s="17"/>
      <c r="F34" s="17"/>
      <c r="G34" s="17"/>
      <c r="H34" s="17"/>
      <c r="I34" s="17"/>
      <c r="J34" s="17"/>
      <c r="K34" s="17"/>
    </row>
    <row r="35" spans="2:11" ht="27.75" customHeight="1" x14ac:dyDescent="0.2">
      <c r="B35" s="3" t="s">
        <v>106</v>
      </c>
      <c r="C35" s="3"/>
      <c r="D35" s="3"/>
      <c r="E35" s="3"/>
      <c r="F35" s="3"/>
      <c r="G35" s="3"/>
      <c r="H35" s="3"/>
    </row>
    <row r="36" spans="2:11" ht="27.75" customHeight="1" x14ac:dyDescent="0.2">
      <c r="B36" s="3" t="s">
        <v>107</v>
      </c>
      <c r="C36" s="3"/>
      <c r="D36" s="3"/>
      <c r="E36" s="3"/>
      <c r="F36" s="3"/>
      <c r="G36" s="3"/>
      <c r="H36" s="3"/>
    </row>
    <row r="37" spans="2:11" ht="27.75" customHeight="1" x14ac:dyDescent="0.2">
      <c r="B37" s="3" t="s">
        <v>108</v>
      </c>
      <c r="C37" s="3"/>
      <c r="D37" s="3"/>
      <c r="E37" s="3"/>
      <c r="F37" s="3"/>
      <c r="G37" s="3"/>
      <c r="H37" s="3"/>
    </row>
    <row r="38" spans="2:11" ht="27.75" customHeight="1" x14ac:dyDescent="0.2">
      <c r="B38" s="3" t="s">
        <v>109</v>
      </c>
      <c r="C38" s="3"/>
      <c r="D38" s="3"/>
      <c r="E38" s="3"/>
      <c r="F38" s="3"/>
      <c r="G38" s="3"/>
      <c r="H38" s="3"/>
    </row>
    <row r="39" spans="2:11" ht="27.75" customHeight="1" x14ac:dyDescent="0.2">
      <c r="B39" s="3" t="s">
        <v>110</v>
      </c>
      <c r="C39" s="3"/>
      <c r="D39" s="3"/>
      <c r="E39" s="3"/>
      <c r="F39" s="3"/>
      <c r="G39" s="3"/>
      <c r="H39" s="3"/>
    </row>
  </sheetData>
  <mergeCells count="19">
    <mergeCell ref="B36:H36"/>
    <mergeCell ref="B37:H37"/>
    <mergeCell ref="B38:H38"/>
    <mergeCell ref="B39:H39"/>
    <mergeCell ref="E29:H29"/>
    <mergeCell ref="E30:H30"/>
    <mergeCell ref="E31:H31"/>
    <mergeCell ref="E32:H32"/>
    <mergeCell ref="B35:H35"/>
    <mergeCell ref="E24:H24"/>
    <mergeCell ref="E25:H25"/>
    <mergeCell ref="E26:H26"/>
    <mergeCell ref="E27:H27"/>
    <mergeCell ref="E28:H28"/>
    <mergeCell ref="D17:H17"/>
    <mergeCell ref="D18:H18"/>
    <mergeCell ref="D19:H19"/>
    <mergeCell ref="D20:H20"/>
    <mergeCell ref="D21:H2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F15"/>
  <sheetViews>
    <sheetView showGridLines="0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baseColWidth="10" defaultColWidth="8.6640625" defaultRowHeight="15" x14ac:dyDescent="0.2"/>
  <cols>
    <col min="1" max="1" width="3" customWidth="1"/>
    <col min="2" max="2" width="40" customWidth="1"/>
    <col min="3" max="5" width="16" customWidth="1"/>
    <col min="6" max="6" width="60" customWidth="1"/>
  </cols>
  <sheetData>
    <row r="2" spans="2:6" ht="17.25" customHeight="1" x14ac:dyDescent="0.2">
      <c r="B2" s="26" t="s">
        <v>111</v>
      </c>
      <c r="C2" s="15"/>
      <c r="D2" s="15"/>
      <c r="E2" s="15"/>
      <c r="F2" s="15"/>
    </row>
    <row r="4" spans="2:6" ht="30" customHeight="1" x14ac:dyDescent="0.2">
      <c r="B4" s="41" t="s">
        <v>112</v>
      </c>
      <c r="C4" s="42" t="s">
        <v>15</v>
      </c>
      <c r="D4" s="42" t="s">
        <v>16</v>
      </c>
      <c r="E4" s="42" t="s">
        <v>17</v>
      </c>
      <c r="F4" s="42" t="s">
        <v>113</v>
      </c>
    </row>
    <row r="5" spans="2:6" ht="15" customHeight="1" x14ac:dyDescent="0.2">
      <c r="B5" s="19" t="s">
        <v>114</v>
      </c>
      <c r="C5" s="20">
        <f>'Reinvestment Capacity'!$D$32</f>
        <v>30000</v>
      </c>
      <c r="D5" s="20">
        <f>'Reinvestment Capacity'!$D$32</f>
        <v>30000</v>
      </c>
      <c r="E5" s="20">
        <f>'Reinvestment Capacity'!$D$32</f>
        <v>30000</v>
      </c>
      <c r="F5" s="37" t="s">
        <v>115</v>
      </c>
    </row>
    <row r="6" spans="2:6" ht="15" customHeight="1" x14ac:dyDescent="0.2">
      <c r="B6" s="19" t="s">
        <v>116</v>
      </c>
      <c r="C6" s="43">
        <v>5</v>
      </c>
      <c r="D6" s="43">
        <v>5</v>
      </c>
      <c r="E6" s="43">
        <v>5</v>
      </c>
      <c r="F6" s="37" t="s">
        <v>117</v>
      </c>
    </row>
    <row r="7" spans="2:6" ht="15" customHeight="1" x14ac:dyDescent="0.2">
      <c r="B7" s="19" t="s">
        <v>118</v>
      </c>
      <c r="C7" s="44">
        <v>7500</v>
      </c>
      <c r="D7" s="44">
        <v>9000</v>
      </c>
      <c r="E7" s="44">
        <v>22000</v>
      </c>
      <c r="F7" s="37" t="s">
        <v>119</v>
      </c>
    </row>
    <row r="8" spans="2:6" ht="15" customHeight="1" x14ac:dyDescent="0.2">
      <c r="B8" s="19" t="s">
        <v>120</v>
      </c>
      <c r="C8" s="45">
        <v>0.18</v>
      </c>
      <c r="D8" s="45">
        <v>0.15</v>
      </c>
      <c r="E8" s="45">
        <v>0.12</v>
      </c>
      <c r="F8" s="37" t="s">
        <v>121</v>
      </c>
    </row>
    <row r="9" spans="2:6" ht="15" customHeight="1" x14ac:dyDescent="0.2">
      <c r="B9" s="19" t="s">
        <v>122</v>
      </c>
      <c r="C9" s="45">
        <v>0.3</v>
      </c>
      <c r="D9" s="45">
        <v>0.42</v>
      </c>
      <c r="E9" s="45">
        <v>8.5000000000000006E-2</v>
      </c>
      <c r="F9" s="37" t="s">
        <v>123</v>
      </c>
    </row>
    <row r="10" spans="2:6" ht="15" customHeight="1" x14ac:dyDescent="0.2">
      <c r="B10" s="19" t="s">
        <v>124</v>
      </c>
      <c r="C10" s="45">
        <v>0.18</v>
      </c>
      <c r="D10" s="45">
        <v>0.32</v>
      </c>
      <c r="E10" s="45">
        <v>0.05</v>
      </c>
      <c r="F10" s="37" t="s">
        <v>125</v>
      </c>
    </row>
    <row r="11" spans="2:6" ht="15" customHeight="1" x14ac:dyDescent="0.2">
      <c r="B11" s="19" t="s">
        <v>126</v>
      </c>
      <c r="C11" s="45">
        <v>0.04</v>
      </c>
      <c r="D11" s="45">
        <v>0.06</v>
      </c>
      <c r="E11" s="45">
        <v>0.02</v>
      </c>
      <c r="F11" s="37" t="s">
        <v>127</v>
      </c>
    </row>
    <row r="12" spans="2:6" ht="15" customHeight="1" x14ac:dyDescent="0.2">
      <c r="B12" s="19" t="s">
        <v>128</v>
      </c>
      <c r="C12" s="45">
        <v>0.1</v>
      </c>
      <c r="D12" s="45">
        <v>0.05</v>
      </c>
      <c r="E12" s="45">
        <v>0.08</v>
      </c>
      <c r="F12" s="37" t="s">
        <v>129</v>
      </c>
    </row>
    <row r="13" spans="2:6" ht="15" customHeight="1" x14ac:dyDescent="0.2">
      <c r="B13" s="19" t="s">
        <v>130</v>
      </c>
      <c r="C13" s="45">
        <v>0.1</v>
      </c>
      <c r="D13" s="45">
        <v>0.125</v>
      </c>
      <c r="E13" s="45">
        <v>0.15</v>
      </c>
      <c r="F13" s="37" t="s">
        <v>131</v>
      </c>
    </row>
    <row r="14" spans="2:6" ht="15" customHeight="1" x14ac:dyDescent="0.2">
      <c r="B14" s="19" t="s">
        <v>132</v>
      </c>
      <c r="C14" s="45">
        <v>0.25169999999999998</v>
      </c>
      <c r="D14" s="45">
        <v>0.25169999999999998</v>
      </c>
      <c r="E14" s="45">
        <v>0.25169999999999998</v>
      </c>
      <c r="F14" s="37" t="s">
        <v>133</v>
      </c>
    </row>
    <row r="15" spans="2:6" ht="15" customHeight="1" x14ac:dyDescent="0.2">
      <c r="B15" s="19" t="s">
        <v>134</v>
      </c>
      <c r="C15" s="45">
        <v>0.04</v>
      </c>
      <c r="D15" s="45">
        <v>0.04</v>
      </c>
      <c r="E15" s="45">
        <v>0.05</v>
      </c>
      <c r="F15" s="37" t="s">
        <v>135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I24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baseColWidth="10" defaultColWidth="8.6640625" defaultRowHeight="15" x14ac:dyDescent="0.2"/>
  <cols>
    <col min="1" max="1" width="3" customWidth="1"/>
    <col min="2" max="2" width="38" customWidth="1"/>
    <col min="3" max="8" width="14" customWidth="1"/>
    <col min="9" max="9" width="40" customWidth="1"/>
  </cols>
  <sheetData>
    <row r="2" spans="2:9" ht="15.75" customHeight="1" x14ac:dyDescent="0.2">
      <c r="B2" s="46" t="s">
        <v>136</v>
      </c>
      <c r="C2" s="15"/>
      <c r="D2" s="15"/>
      <c r="E2" s="15"/>
      <c r="F2" s="15"/>
      <c r="G2" s="15"/>
      <c r="H2" s="15"/>
    </row>
    <row r="3" spans="2:9" ht="42" customHeight="1" x14ac:dyDescent="0.2">
      <c r="B3" s="2" t="s">
        <v>137</v>
      </c>
      <c r="C3" s="2"/>
      <c r="D3" s="2"/>
      <c r="E3" s="2"/>
      <c r="F3" s="2"/>
      <c r="G3" s="2"/>
      <c r="H3" s="2"/>
      <c r="I3" s="2"/>
    </row>
    <row r="4" spans="2:9" ht="15" customHeight="1" x14ac:dyDescent="0.2">
      <c r="B4" s="27" t="s">
        <v>138</v>
      </c>
      <c r="C4" s="18" t="s">
        <v>139</v>
      </c>
      <c r="D4" s="18" t="s">
        <v>140</v>
      </c>
      <c r="E4" s="18" t="s">
        <v>141</v>
      </c>
      <c r="F4" s="18" t="s">
        <v>142</v>
      </c>
      <c r="G4" s="18" t="s">
        <v>143</v>
      </c>
      <c r="H4" s="18" t="s">
        <v>144</v>
      </c>
      <c r="I4" s="27" t="s">
        <v>145</v>
      </c>
    </row>
    <row r="5" spans="2:9" ht="15" customHeight="1" x14ac:dyDescent="0.2">
      <c r="B5" s="47" t="s">
        <v>146</v>
      </c>
      <c r="C5" s="48">
        <f>-'Project Assumptions'!$C$5</f>
        <v>-30000</v>
      </c>
      <c r="D5" s="49"/>
      <c r="E5" s="49"/>
      <c r="F5" s="49"/>
      <c r="G5" s="49"/>
      <c r="H5" s="49"/>
      <c r="I5" s="13" t="s">
        <v>147</v>
      </c>
    </row>
    <row r="6" spans="2:9" ht="15" customHeight="1" x14ac:dyDescent="0.2">
      <c r="B6" s="47" t="s">
        <v>148</v>
      </c>
      <c r="C6" s="49"/>
      <c r="D6" s="48">
        <f>'Project Assumptions'!$C$7</f>
        <v>7500</v>
      </c>
      <c r="E6" s="50">
        <f>D6*(1+'Project Assumptions'!$C$8)</f>
        <v>8850</v>
      </c>
      <c r="F6" s="50">
        <f>E6*(1+'Project Assumptions'!$C$8)</f>
        <v>10443</v>
      </c>
      <c r="G6" s="50">
        <f>F6*(1+'Project Assumptions'!$C$8)</f>
        <v>12322.74</v>
      </c>
      <c r="H6" s="50">
        <f>G6*(1+'Project Assumptions'!$C$8)</f>
        <v>14540.833199999999</v>
      </c>
    </row>
    <row r="7" spans="2:9" ht="15" customHeight="1" x14ac:dyDescent="0.2">
      <c r="B7" s="47" t="s">
        <v>149</v>
      </c>
      <c r="C7" s="51"/>
      <c r="D7" s="52">
        <f>'Project Assumptions'!$C$10</f>
        <v>0.18</v>
      </c>
      <c r="E7" s="52">
        <f>'Project Assumptions'!$C$9</f>
        <v>0.3</v>
      </c>
      <c r="F7" s="52">
        <f>'Project Assumptions'!$C$9</f>
        <v>0.3</v>
      </c>
      <c r="G7" s="52">
        <f>'Project Assumptions'!$C$9</f>
        <v>0.3</v>
      </c>
      <c r="H7" s="52">
        <f>'Project Assumptions'!$C$9</f>
        <v>0.3</v>
      </c>
      <c r="I7" s="29" t="s">
        <v>150</v>
      </c>
    </row>
    <row r="8" spans="2:9" ht="15" customHeight="1" x14ac:dyDescent="0.2">
      <c r="B8" s="47" t="s">
        <v>55</v>
      </c>
      <c r="C8" s="49"/>
      <c r="D8" s="50">
        <f>D6*D7</f>
        <v>1350</v>
      </c>
      <c r="E8" s="50">
        <f>E6*E7</f>
        <v>2655</v>
      </c>
      <c r="F8" s="50">
        <f>F6*F7</f>
        <v>3132.9</v>
      </c>
      <c r="G8" s="50">
        <f>G6*G7</f>
        <v>3696.8219999999997</v>
      </c>
      <c r="H8" s="50">
        <f>H6*H7</f>
        <v>4362.2499599999992</v>
      </c>
    </row>
    <row r="9" spans="2:9" ht="15" customHeight="1" x14ac:dyDescent="0.2">
      <c r="B9" s="47" t="s">
        <v>151</v>
      </c>
      <c r="C9" s="49"/>
      <c r="D9" s="50">
        <f>-'Project Assumptions'!$C$5*'Project Assumptions'!$C$13</f>
        <v>-3000</v>
      </c>
      <c r="E9" s="50">
        <f>-'Project Assumptions'!$C$5*'Project Assumptions'!$C$13</f>
        <v>-3000</v>
      </c>
      <c r="F9" s="50">
        <f>-'Project Assumptions'!$C$5*'Project Assumptions'!$C$13</f>
        <v>-3000</v>
      </c>
      <c r="G9" s="50">
        <f>-'Project Assumptions'!$C$5*'Project Assumptions'!$C$13</f>
        <v>-3000</v>
      </c>
      <c r="H9" s="50">
        <f>-'Project Assumptions'!$C$5*'Project Assumptions'!$C$13</f>
        <v>-3000</v>
      </c>
      <c r="I9" s="29" t="s">
        <v>152</v>
      </c>
    </row>
    <row r="10" spans="2:9" ht="15" customHeight="1" x14ac:dyDescent="0.2">
      <c r="B10" s="47" t="s">
        <v>153</v>
      </c>
      <c r="C10" s="49"/>
      <c r="D10" s="50">
        <f>D8+D9</f>
        <v>-1650</v>
      </c>
      <c r="E10" s="50">
        <f>E8+E9</f>
        <v>-345</v>
      </c>
      <c r="F10" s="50">
        <f>F8+F9</f>
        <v>132.90000000000009</v>
      </c>
      <c r="G10" s="50">
        <f>G8+G9</f>
        <v>696.82199999999966</v>
      </c>
      <c r="H10" s="50">
        <f>H8+H9</f>
        <v>1362.2499599999992</v>
      </c>
    </row>
    <row r="11" spans="2:9" ht="15" customHeight="1" x14ac:dyDescent="0.2">
      <c r="B11" s="47" t="s">
        <v>154</v>
      </c>
      <c r="C11" s="49"/>
      <c r="D11" s="50">
        <f>-MAX(D10,0)*'Project Assumptions'!$C$14</f>
        <v>0</v>
      </c>
      <c r="E11" s="50">
        <f>-MAX(E10,0)*'Project Assumptions'!$C$14</f>
        <v>0</v>
      </c>
      <c r="F11" s="50">
        <f>-MAX(F10,0)*'Project Assumptions'!$C$14</f>
        <v>-33.450930000000021</v>
      </c>
      <c r="G11" s="50">
        <f>-MAX(G10,0)*'Project Assumptions'!$C$14</f>
        <v>-175.39009739999989</v>
      </c>
      <c r="H11" s="50">
        <f>-MAX(H10,0)*'Project Assumptions'!$C$14</f>
        <v>-342.8783149319998</v>
      </c>
      <c r="I11" s="29" t="s">
        <v>155</v>
      </c>
    </row>
    <row r="12" spans="2:9" ht="15" customHeight="1" x14ac:dyDescent="0.2">
      <c r="B12" s="47" t="s">
        <v>156</v>
      </c>
      <c r="C12" s="49"/>
      <c r="D12" s="50">
        <f>D10+D11</f>
        <v>-1650</v>
      </c>
      <c r="E12" s="50">
        <f>E10+E11</f>
        <v>-345</v>
      </c>
      <c r="F12" s="50">
        <f>F10+F11</f>
        <v>99.449070000000063</v>
      </c>
      <c r="G12" s="50">
        <f>G10+G11</f>
        <v>521.43190259999983</v>
      </c>
      <c r="H12" s="50">
        <f>H10+H11</f>
        <v>1019.3716450679995</v>
      </c>
    </row>
    <row r="13" spans="2:9" ht="15" customHeight="1" x14ac:dyDescent="0.2">
      <c r="B13" s="47" t="s">
        <v>157</v>
      </c>
      <c r="C13" s="49"/>
      <c r="D13" s="50">
        <f>-D9</f>
        <v>3000</v>
      </c>
      <c r="E13" s="50">
        <f>-E9</f>
        <v>3000</v>
      </c>
      <c r="F13" s="50">
        <f>-F9</f>
        <v>3000</v>
      </c>
      <c r="G13" s="50">
        <f>-G9</f>
        <v>3000</v>
      </c>
      <c r="H13" s="50">
        <f>-H9</f>
        <v>3000</v>
      </c>
    </row>
    <row r="14" spans="2:9" ht="15" customHeight="1" x14ac:dyDescent="0.2">
      <c r="B14" s="47" t="s">
        <v>158</v>
      </c>
      <c r="C14" s="49"/>
      <c r="D14" s="50">
        <f>-D6*'Project Assumptions'!$C$11</f>
        <v>-300</v>
      </c>
      <c r="E14" s="50">
        <f>-E6*'Project Assumptions'!$C$11</f>
        <v>-354</v>
      </c>
      <c r="F14" s="50">
        <f>-F6*'Project Assumptions'!$C$11</f>
        <v>-417.72</v>
      </c>
      <c r="G14" s="50">
        <f>-G6*'Project Assumptions'!$C$11</f>
        <v>-492.90960000000001</v>
      </c>
      <c r="H14" s="50">
        <f>-H6*'Project Assumptions'!$C$11</f>
        <v>-581.63332800000001</v>
      </c>
    </row>
    <row r="15" spans="2:9" ht="15" customHeight="1" x14ac:dyDescent="0.2">
      <c r="B15" s="47" t="s">
        <v>159</v>
      </c>
      <c r="C15" s="49"/>
      <c r="D15" s="50">
        <f>-D6*'Project Assumptions'!$C$12</f>
        <v>-750</v>
      </c>
      <c r="E15" s="50">
        <f>-(E6-D6)*'Project Assumptions'!$C$12</f>
        <v>-135</v>
      </c>
      <c r="F15" s="50">
        <f>-(F6-E6)*'Project Assumptions'!$C$12</f>
        <v>-159.30000000000001</v>
      </c>
      <c r="G15" s="50">
        <f>-(G6-F6)*'Project Assumptions'!$C$12</f>
        <v>-187.97399999999999</v>
      </c>
      <c r="H15" s="50">
        <f>-(H6-G6)*'Project Assumptions'!$C$12</f>
        <v>-221.80931999999996</v>
      </c>
      <c r="I15" s="29" t="s">
        <v>160</v>
      </c>
    </row>
    <row r="16" spans="2:9" ht="15" customHeight="1" x14ac:dyDescent="0.2">
      <c r="B16" s="47" t="s">
        <v>161</v>
      </c>
      <c r="C16" s="50">
        <f>C5</f>
        <v>-30000</v>
      </c>
      <c r="D16" s="50">
        <f>D12+D13+D14+D15</f>
        <v>300</v>
      </c>
      <c r="E16" s="50">
        <f>E12+E13+E14+E15</f>
        <v>2166</v>
      </c>
      <c r="F16" s="50">
        <f>F12+F13+F14+F15</f>
        <v>2522.4290700000001</v>
      </c>
      <c r="G16" s="50">
        <f>G12+G13+G14+G15</f>
        <v>2840.5483025999997</v>
      </c>
      <c r="H16" s="50">
        <f>H12+H13+H14+H15</f>
        <v>3215.9289970679997</v>
      </c>
    </row>
    <row r="17" spans="2:9" ht="15" customHeight="1" x14ac:dyDescent="0.2">
      <c r="B17" s="47" t="s">
        <v>162</v>
      </c>
      <c r="C17" s="49"/>
      <c r="D17" s="49"/>
      <c r="E17" s="49"/>
      <c r="F17" s="49"/>
      <c r="G17" s="49"/>
      <c r="H17" s="50">
        <f>H16*(1+'Project Assumptions'!$C$15)/('NPV &amp; IRR'!$C$6-'Project Assumptions'!$C$15)</f>
        <v>46153.591435303722</v>
      </c>
      <c r="I17" s="29" t="s">
        <v>163</v>
      </c>
    </row>
    <row r="18" spans="2:9" ht="15" customHeight="1" x14ac:dyDescent="0.2">
      <c r="B18" s="47" t="s">
        <v>164</v>
      </c>
      <c r="C18" s="50">
        <f>C16</f>
        <v>-30000</v>
      </c>
      <c r="D18" s="50">
        <f>D16</f>
        <v>300</v>
      </c>
      <c r="E18" s="50">
        <f>E16</f>
        <v>2166</v>
      </c>
      <c r="F18" s="50">
        <f>F16</f>
        <v>2522.4290700000001</v>
      </c>
      <c r="G18" s="50">
        <f>G16</f>
        <v>2840.5483025999997</v>
      </c>
      <c r="H18" s="50">
        <f>H16+H17</f>
        <v>49369.520432371719</v>
      </c>
    </row>
    <row r="19" spans="2:9" ht="15" customHeight="1" x14ac:dyDescent="0.2">
      <c r="B19" s="47" t="s">
        <v>165</v>
      </c>
      <c r="C19" s="53">
        <f>1/(1+'NPV &amp; IRR'!$C$6)^0</f>
        <v>1</v>
      </c>
      <c r="D19" s="53">
        <f>1/(1+'NPV &amp; IRR'!$C$6)^1</f>
        <v>0.89890387661285831</v>
      </c>
      <c r="E19" s="53">
        <f>1/(1+'NPV &amp; IRR'!$C$6)^2</f>
        <v>0.80802817938962479</v>
      </c>
      <c r="F19" s="53">
        <f>1/(1+'NPV &amp; IRR'!$C$6)^3</f>
        <v>0.72633966286576379</v>
      </c>
      <c r="G19" s="53">
        <f>1/(1+'NPV &amp; IRR'!$C$6)^4</f>
        <v>0.65290953868771162</v>
      </c>
      <c r="H19" s="53">
        <f>1/(1+'NPV &amp; IRR'!$C$6)^5</f>
        <v>0.58690291540389694</v>
      </c>
      <c r="I19" s="29" t="s">
        <v>166</v>
      </c>
    </row>
    <row r="20" spans="2:9" ht="15" customHeight="1" x14ac:dyDescent="0.2">
      <c r="B20" s="47" t="s">
        <v>167</v>
      </c>
      <c r="C20" s="50">
        <f t="shared" ref="C20:H20" si="0">C18*C19</f>
        <v>-30000</v>
      </c>
      <c r="D20" s="50">
        <f t="shared" si="0"/>
        <v>269.67116298385747</v>
      </c>
      <c r="E20" s="50">
        <f t="shared" si="0"/>
        <v>1750.1890365579272</v>
      </c>
      <c r="F20" s="50">
        <f t="shared" si="0"/>
        <v>1832.1402803066021</v>
      </c>
      <c r="G20" s="50">
        <f t="shared" si="0"/>
        <v>1854.6210818707282</v>
      </c>
      <c r="H20" s="50">
        <f t="shared" si="0"/>
        <v>28975.11547385122</v>
      </c>
    </row>
    <row r="22" spans="2:9" ht="15" customHeight="1" x14ac:dyDescent="0.2">
      <c r="B22" s="54" t="s">
        <v>168</v>
      </c>
      <c r="C22" s="55">
        <f>SUM(C20:H20)</f>
        <v>4681.7370355703351</v>
      </c>
    </row>
    <row r="23" spans="2:9" ht="15" customHeight="1" x14ac:dyDescent="0.2">
      <c r="B23" s="54" t="s">
        <v>20</v>
      </c>
      <c r="C23" s="56">
        <f>IRR(C18:H18)</f>
        <v>0.14773103965730616</v>
      </c>
    </row>
    <row r="24" spans="2:9" ht="15" customHeight="1" x14ac:dyDescent="0.2">
      <c r="B24" s="57" t="s">
        <v>169</v>
      </c>
      <c r="C24" s="50">
        <f>SUM(C20:G20)+(H16*H19)</f>
        <v>-22405.940334169743</v>
      </c>
    </row>
  </sheetData>
  <mergeCells count="1">
    <mergeCell ref="B3:I3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I24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baseColWidth="10" defaultColWidth="8.6640625" defaultRowHeight="15" x14ac:dyDescent="0.2"/>
  <cols>
    <col min="1" max="1" width="3" customWidth="1"/>
    <col min="2" max="2" width="38" customWidth="1"/>
    <col min="3" max="8" width="14" customWidth="1"/>
    <col min="9" max="9" width="40" customWidth="1"/>
  </cols>
  <sheetData>
    <row r="2" spans="2:9" ht="15.75" customHeight="1" x14ac:dyDescent="0.2">
      <c r="B2" s="46" t="s">
        <v>170</v>
      </c>
      <c r="C2" s="15"/>
      <c r="D2" s="15"/>
      <c r="E2" s="15"/>
      <c r="F2" s="15"/>
      <c r="G2" s="15"/>
      <c r="H2" s="15"/>
    </row>
    <row r="3" spans="2:9" ht="42" customHeight="1" x14ac:dyDescent="0.2">
      <c r="B3" s="2" t="s">
        <v>171</v>
      </c>
      <c r="C3" s="2"/>
      <c r="D3" s="2"/>
      <c r="E3" s="2"/>
      <c r="F3" s="2"/>
      <c r="G3" s="2"/>
      <c r="H3" s="2"/>
      <c r="I3" s="2"/>
    </row>
    <row r="4" spans="2:9" ht="15" customHeight="1" x14ac:dyDescent="0.2">
      <c r="B4" s="27" t="s">
        <v>138</v>
      </c>
      <c r="C4" s="18" t="s">
        <v>139</v>
      </c>
      <c r="D4" s="18" t="s">
        <v>140</v>
      </c>
      <c r="E4" s="18" t="s">
        <v>141</v>
      </c>
      <c r="F4" s="18" t="s">
        <v>142</v>
      </c>
      <c r="G4" s="18" t="s">
        <v>143</v>
      </c>
      <c r="H4" s="18" t="s">
        <v>144</v>
      </c>
      <c r="I4" s="27" t="s">
        <v>145</v>
      </c>
    </row>
    <row r="5" spans="2:9" ht="15" customHeight="1" x14ac:dyDescent="0.2">
      <c r="B5" s="47" t="s">
        <v>146</v>
      </c>
      <c r="C5" s="48">
        <f>-'Project Assumptions'!$D$5</f>
        <v>-30000</v>
      </c>
      <c r="D5" s="49"/>
      <c r="E5" s="49"/>
      <c r="F5" s="49"/>
      <c r="G5" s="49"/>
      <c r="H5" s="49"/>
      <c r="I5" s="13" t="s">
        <v>147</v>
      </c>
    </row>
    <row r="6" spans="2:9" ht="15" customHeight="1" x14ac:dyDescent="0.2">
      <c r="B6" s="47" t="s">
        <v>148</v>
      </c>
      <c r="C6" s="49"/>
      <c r="D6" s="48">
        <f>'Project Assumptions'!$D$7</f>
        <v>9000</v>
      </c>
      <c r="E6" s="50">
        <f>D6*(1+'Project Assumptions'!$D$8)</f>
        <v>10350</v>
      </c>
      <c r="F6" s="50">
        <f>E6*(1+'Project Assumptions'!$D$8)</f>
        <v>11902.499999999998</v>
      </c>
      <c r="G6" s="50">
        <f>F6*(1+'Project Assumptions'!$D$8)</f>
        <v>13687.874999999996</v>
      </c>
      <c r="H6" s="50">
        <f>G6*(1+'Project Assumptions'!$D$8)</f>
        <v>15741.056249999994</v>
      </c>
    </row>
    <row r="7" spans="2:9" ht="15" customHeight="1" x14ac:dyDescent="0.2">
      <c r="B7" s="47" t="s">
        <v>149</v>
      </c>
      <c r="C7" s="51"/>
      <c r="D7" s="52">
        <f>'Project Assumptions'!$D$10</f>
        <v>0.32</v>
      </c>
      <c r="E7" s="52">
        <f>'Project Assumptions'!$D$9</f>
        <v>0.42</v>
      </c>
      <c r="F7" s="52">
        <f>'Project Assumptions'!$D$9</f>
        <v>0.42</v>
      </c>
      <c r="G7" s="52">
        <f>'Project Assumptions'!$D$9</f>
        <v>0.42</v>
      </c>
      <c r="H7" s="52">
        <f>'Project Assumptions'!$D$9</f>
        <v>0.42</v>
      </c>
      <c r="I7" s="29" t="s">
        <v>150</v>
      </c>
    </row>
    <row r="8" spans="2:9" ht="15" customHeight="1" x14ac:dyDescent="0.2">
      <c r="B8" s="47" t="s">
        <v>55</v>
      </c>
      <c r="C8" s="49"/>
      <c r="D8" s="50">
        <f>D6*D7</f>
        <v>2880</v>
      </c>
      <c r="E8" s="50">
        <f>E6*E7</f>
        <v>4347</v>
      </c>
      <c r="F8" s="50">
        <f>F6*F7</f>
        <v>4999.0499999999993</v>
      </c>
      <c r="G8" s="50">
        <f>G6*G7</f>
        <v>5748.9074999999984</v>
      </c>
      <c r="H8" s="50">
        <f>H6*H7</f>
        <v>6611.2436249999973</v>
      </c>
    </row>
    <row r="9" spans="2:9" ht="15" customHeight="1" x14ac:dyDescent="0.2">
      <c r="B9" s="47" t="s">
        <v>151</v>
      </c>
      <c r="C9" s="49"/>
      <c r="D9" s="50">
        <f>-'Project Assumptions'!$D$5*'Project Assumptions'!$D$13</f>
        <v>-3750</v>
      </c>
      <c r="E9" s="50">
        <f>-'Project Assumptions'!$D$5*'Project Assumptions'!$D$13</f>
        <v>-3750</v>
      </c>
      <c r="F9" s="50">
        <f>-'Project Assumptions'!$D$5*'Project Assumptions'!$D$13</f>
        <v>-3750</v>
      </c>
      <c r="G9" s="50">
        <f>-'Project Assumptions'!$D$5*'Project Assumptions'!$D$13</f>
        <v>-3750</v>
      </c>
      <c r="H9" s="50">
        <f>-'Project Assumptions'!$D$5*'Project Assumptions'!$D$13</f>
        <v>-3750</v>
      </c>
      <c r="I9" s="29" t="s">
        <v>152</v>
      </c>
    </row>
    <row r="10" spans="2:9" ht="15" customHeight="1" x14ac:dyDescent="0.2">
      <c r="B10" s="47" t="s">
        <v>153</v>
      </c>
      <c r="C10" s="49"/>
      <c r="D10" s="50">
        <f>D8+D9</f>
        <v>-870</v>
      </c>
      <c r="E10" s="50">
        <f>E8+E9</f>
        <v>597</v>
      </c>
      <c r="F10" s="50">
        <f>F8+F9</f>
        <v>1249.0499999999993</v>
      </c>
      <c r="G10" s="50">
        <f>G8+G9</f>
        <v>1998.9074999999984</v>
      </c>
      <c r="H10" s="50">
        <f>H8+H9</f>
        <v>2861.2436249999973</v>
      </c>
    </row>
    <row r="11" spans="2:9" ht="15" customHeight="1" x14ac:dyDescent="0.2">
      <c r="B11" s="47" t="s">
        <v>154</v>
      </c>
      <c r="C11" s="49"/>
      <c r="D11" s="50">
        <f>-MAX(D10,0)*'Project Assumptions'!$D$14</f>
        <v>0</v>
      </c>
      <c r="E11" s="50">
        <f>-MAX(E10,0)*'Project Assumptions'!$D$14</f>
        <v>-150.26489999999998</v>
      </c>
      <c r="F11" s="50">
        <f>-MAX(F10,0)*'Project Assumptions'!$D$14</f>
        <v>-314.3858849999998</v>
      </c>
      <c r="G11" s="50">
        <f>-MAX(G10,0)*'Project Assumptions'!$D$14</f>
        <v>-503.12501774999959</v>
      </c>
      <c r="H11" s="50">
        <f>-MAX(H10,0)*'Project Assumptions'!$D$14</f>
        <v>-720.17502041249929</v>
      </c>
      <c r="I11" s="29" t="s">
        <v>155</v>
      </c>
    </row>
    <row r="12" spans="2:9" ht="15" customHeight="1" x14ac:dyDescent="0.2">
      <c r="B12" s="47" t="s">
        <v>156</v>
      </c>
      <c r="C12" s="49"/>
      <c r="D12" s="50">
        <f>D10+D11</f>
        <v>-870</v>
      </c>
      <c r="E12" s="50">
        <f>E10+E11</f>
        <v>446.73509999999999</v>
      </c>
      <c r="F12" s="50">
        <f>F10+F11</f>
        <v>934.66411499999947</v>
      </c>
      <c r="G12" s="50">
        <f>G10+G11</f>
        <v>1495.7824822499988</v>
      </c>
      <c r="H12" s="50">
        <f>H10+H11</f>
        <v>2141.0686045874982</v>
      </c>
    </row>
    <row r="13" spans="2:9" ht="15" customHeight="1" x14ac:dyDescent="0.2">
      <c r="B13" s="47" t="s">
        <v>157</v>
      </c>
      <c r="C13" s="49"/>
      <c r="D13" s="50">
        <f>-D9</f>
        <v>3750</v>
      </c>
      <c r="E13" s="50">
        <f>-E9</f>
        <v>3750</v>
      </c>
      <c r="F13" s="50">
        <f>-F9</f>
        <v>3750</v>
      </c>
      <c r="G13" s="50">
        <f>-G9</f>
        <v>3750</v>
      </c>
      <c r="H13" s="50">
        <f>-H9</f>
        <v>3750</v>
      </c>
    </row>
    <row r="14" spans="2:9" ht="15" customHeight="1" x14ac:dyDescent="0.2">
      <c r="B14" s="47" t="s">
        <v>158</v>
      </c>
      <c r="C14" s="49"/>
      <c r="D14" s="50">
        <f>-D6*'Project Assumptions'!$D$11</f>
        <v>-540</v>
      </c>
      <c r="E14" s="50">
        <f>-E6*'Project Assumptions'!$D$11</f>
        <v>-621</v>
      </c>
      <c r="F14" s="50">
        <f>-F6*'Project Assumptions'!$D$11</f>
        <v>-714.14999999999986</v>
      </c>
      <c r="G14" s="50">
        <f>-G6*'Project Assumptions'!$D$11</f>
        <v>-821.2724999999997</v>
      </c>
      <c r="H14" s="50">
        <f>-H6*'Project Assumptions'!$D$11</f>
        <v>-944.46337499999959</v>
      </c>
    </row>
    <row r="15" spans="2:9" ht="15" customHeight="1" x14ac:dyDescent="0.2">
      <c r="B15" s="47" t="s">
        <v>159</v>
      </c>
      <c r="C15" s="49"/>
      <c r="D15" s="50">
        <f>-D6*'Project Assumptions'!$D$12</f>
        <v>-450</v>
      </c>
      <c r="E15" s="50">
        <f>-(E6-D6)*'Project Assumptions'!$D$12</f>
        <v>-67.5</v>
      </c>
      <c r="F15" s="50">
        <f>-(F6-E6)*'Project Assumptions'!$D$12</f>
        <v>-77.624999999999915</v>
      </c>
      <c r="G15" s="50">
        <f>-(G6-F6)*'Project Assumptions'!$D$12</f>
        <v>-89.268749999999912</v>
      </c>
      <c r="H15" s="50">
        <f>-(H6-G6)*'Project Assumptions'!$D$12</f>
        <v>-102.65906249999989</v>
      </c>
      <c r="I15" s="29" t="s">
        <v>160</v>
      </c>
    </row>
    <row r="16" spans="2:9" ht="15" customHeight="1" x14ac:dyDescent="0.2">
      <c r="B16" s="47" t="s">
        <v>161</v>
      </c>
      <c r="C16" s="50">
        <f>C5</f>
        <v>-30000</v>
      </c>
      <c r="D16" s="50">
        <f>D12+D13+D14+D15</f>
        <v>1890</v>
      </c>
      <c r="E16" s="50">
        <f>E12+E13+E14+E15</f>
        <v>3508.2350999999999</v>
      </c>
      <c r="F16" s="50">
        <f>F12+F13+F14+F15</f>
        <v>3892.8891149999999</v>
      </c>
      <c r="G16" s="50">
        <f>G12+G13+G14+G15</f>
        <v>4335.2412322499986</v>
      </c>
      <c r="H16" s="50">
        <f>H12+H13+H14+H15</f>
        <v>4843.9461670874989</v>
      </c>
    </row>
    <row r="17" spans="2:9" ht="15" customHeight="1" x14ac:dyDescent="0.2">
      <c r="B17" s="47" t="s">
        <v>162</v>
      </c>
      <c r="C17" s="49"/>
      <c r="D17" s="49"/>
      <c r="E17" s="49"/>
      <c r="F17" s="49"/>
      <c r="G17" s="49"/>
      <c r="H17" s="50">
        <f>H16*(1+'Project Assumptions'!$D$15)/('NPV &amp; IRR'!$C$6-'Project Assumptions'!$D$15)</f>
        <v>69518.174230273493</v>
      </c>
      <c r="I17" s="29" t="s">
        <v>163</v>
      </c>
    </row>
    <row r="18" spans="2:9" ht="15" customHeight="1" x14ac:dyDescent="0.2">
      <c r="B18" s="47" t="s">
        <v>164</v>
      </c>
      <c r="C18" s="50">
        <f>C16</f>
        <v>-30000</v>
      </c>
      <c r="D18" s="50">
        <f>D16</f>
        <v>1890</v>
      </c>
      <c r="E18" s="50">
        <f>E16</f>
        <v>3508.2350999999999</v>
      </c>
      <c r="F18" s="50">
        <f>F16</f>
        <v>3892.8891149999999</v>
      </c>
      <c r="G18" s="50">
        <f>G16</f>
        <v>4335.2412322499986</v>
      </c>
      <c r="H18" s="50">
        <f>H16+H17</f>
        <v>74362.120397360995</v>
      </c>
    </row>
    <row r="19" spans="2:9" ht="15" customHeight="1" x14ac:dyDescent="0.2">
      <c r="B19" s="47" t="s">
        <v>165</v>
      </c>
      <c r="C19" s="53">
        <f>1/(1+'NPV &amp; IRR'!$C$6)^0</f>
        <v>1</v>
      </c>
      <c r="D19" s="53">
        <f>1/(1+'NPV &amp; IRR'!$C$6)^1</f>
        <v>0.89890387661285831</v>
      </c>
      <c r="E19" s="53">
        <f>1/(1+'NPV &amp; IRR'!$C$6)^2</f>
        <v>0.80802817938962479</v>
      </c>
      <c r="F19" s="53">
        <f>1/(1+'NPV &amp; IRR'!$C$6)^3</f>
        <v>0.72633966286576379</v>
      </c>
      <c r="G19" s="53">
        <f>1/(1+'NPV &amp; IRR'!$C$6)^4</f>
        <v>0.65290953868771162</v>
      </c>
      <c r="H19" s="53">
        <f>1/(1+'NPV &amp; IRR'!$C$6)^5</f>
        <v>0.58690291540389694</v>
      </c>
      <c r="I19" s="29" t="s">
        <v>166</v>
      </c>
    </row>
    <row r="20" spans="2:9" ht="15" customHeight="1" x14ac:dyDescent="0.2">
      <c r="B20" s="47" t="s">
        <v>167</v>
      </c>
      <c r="C20" s="50">
        <f t="shared" ref="C20:H20" si="0">C18*C19</f>
        <v>-30000</v>
      </c>
      <c r="D20" s="50">
        <f t="shared" si="0"/>
        <v>1698.9283267983021</v>
      </c>
      <c r="E20" s="50">
        <f t="shared" si="0"/>
        <v>2834.7528207237783</v>
      </c>
      <c r="F20" s="50">
        <f t="shared" si="0"/>
        <v>2827.5597673629013</v>
      </c>
      <c r="G20" s="50">
        <f t="shared" si="0"/>
        <v>2830.5203530482931</v>
      </c>
      <c r="H20" s="50">
        <f t="shared" si="0"/>
        <v>43643.34525682676</v>
      </c>
    </row>
    <row r="22" spans="2:9" ht="15" customHeight="1" x14ac:dyDescent="0.2">
      <c r="B22" s="54" t="s">
        <v>168</v>
      </c>
      <c r="C22" s="55">
        <f>SUM(C20:H20)</f>
        <v>23835.106524760035</v>
      </c>
    </row>
    <row r="23" spans="2:9" ht="15" customHeight="1" x14ac:dyDescent="0.2">
      <c r="B23" s="54" t="s">
        <v>20</v>
      </c>
      <c r="C23" s="56">
        <f>IRR(C18:H18)</f>
        <v>0.26746997568972142</v>
      </c>
    </row>
    <row r="24" spans="2:9" ht="15" customHeight="1" x14ac:dyDescent="0.2">
      <c r="B24" s="57" t="s">
        <v>169</v>
      </c>
      <c r="C24" s="50">
        <f>SUM(C20:G20)+(H16*H19)</f>
        <v>-16965.312604543542</v>
      </c>
    </row>
  </sheetData>
  <mergeCells count="1">
    <mergeCell ref="B3:I3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I24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baseColWidth="10" defaultColWidth="8.6640625" defaultRowHeight="15" x14ac:dyDescent="0.2"/>
  <cols>
    <col min="1" max="1" width="3" customWidth="1"/>
    <col min="2" max="2" width="38" customWidth="1"/>
    <col min="3" max="8" width="14" customWidth="1"/>
    <col min="9" max="9" width="40" customWidth="1"/>
  </cols>
  <sheetData>
    <row r="2" spans="2:9" ht="15.75" customHeight="1" x14ac:dyDescent="0.2">
      <c r="B2" s="46" t="s">
        <v>172</v>
      </c>
      <c r="C2" s="15"/>
      <c r="D2" s="15"/>
      <c r="E2" s="15"/>
      <c r="F2" s="15"/>
      <c r="G2" s="15"/>
      <c r="H2" s="15"/>
    </row>
    <row r="3" spans="2:9" ht="42" customHeight="1" x14ac:dyDescent="0.2">
      <c r="B3" s="2" t="s">
        <v>173</v>
      </c>
      <c r="C3" s="2"/>
      <c r="D3" s="2"/>
      <c r="E3" s="2"/>
      <c r="F3" s="2"/>
      <c r="G3" s="2"/>
      <c r="H3" s="2"/>
      <c r="I3" s="2"/>
    </row>
    <row r="4" spans="2:9" ht="15" customHeight="1" x14ac:dyDescent="0.2">
      <c r="B4" s="27" t="s">
        <v>138</v>
      </c>
      <c r="C4" s="18" t="s">
        <v>139</v>
      </c>
      <c r="D4" s="18" t="s">
        <v>140</v>
      </c>
      <c r="E4" s="18" t="s">
        <v>141</v>
      </c>
      <c r="F4" s="18" t="s">
        <v>142</v>
      </c>
      <c r="G4" s="18" t="s">
        <v>143</v>
      </c>
      <c r="H4" s="18" t="s">
        <v>144</v>
      </c>
      <c r="I4" s="27" t="s">
        <v>145</v>
      </c>
    </row>
    <row r="5" spans="2:9" ht="15" customHeight="1" x14ac:dyDescent="0.2">
      <c r="B5" s="47" t="s">
        <v>146</v>
      </c>
      <c r="C5" s="48">
        <f>-'Project Assumptions'!$E$5</f>
        <v>-30000</v>
      </c>
      <c r="D5" s="49"/>
      <c r="E5" s="49"/>
      <c r="F5" s="49"/>
      <c r="G5" s="49"/>
      <c r="H5" s="49"/>
      <c r="I5" s="13" t="s">
        <v>147</v>
      </c>
    </row>
    <row r="6" spans="2:9" ht="15" customHeight="1" x14ac:dyDescent="0.2">
      <c r="B6" s="47" t="s">
        <v>148</v>
      </c>
      <c r="C6" s="49"/>
      <c r="D6" s="48">
        <f>'Project Assumptions'!$E$7</f>
        <v>22000</v>
      </c>
      <c r="E6" s="50">
        <f>D6*(1+'Project Assumptions'!$E$8)</f>
        <v>24640.000000000004</v>
      </c>
      <c r="F6" s="50">
        <f>E6*(1+'Project Assumptions'!$E$8)</f>
        <v>27596.800000000007</v>
      </c>
      <c r="G6" s="50">
        <f>F6*(1+'Project Assumptions'!$E$8)</f>
        <v>30908.416000000012</v>
      </c>
      <c r="H6" s="50">
        <f>G6*(1+'Project Assumptions'!$E$8)</f>
        <v>34617.425920000016</v>
      </c>
    </row>
    <row r="7" spans="2:9" ht="15" customHeight="1" x14ac:dyDescent="0.2">
      <c r="B7" s="47" t="s">
        <v>149</v>
      </c>
      <c r="C7" s="51"/>
      <c r="D7" s="52">
        <f>'Project Assumptions'!$E$10</f>
        <v>0.05</v>
      </c>
      <c r="E7" s="52">
        <f>'Project Assumptions'!$E$9</f>
        <v>8.5000000000000006E-2</v>
      </c>
      <c r="F7" s="52">
        <f>'Project Assumptions'!$E$9</f>
        <v>8.5000000000000006E-2</v>
      </c>
      <c r="G7" s="52">
        <f>'Project Assumptions'!$E$9</f>
        <v>8.5000000000000006E-2</v>
      </c>
      <c r="H7" s="52">
        <f>'Project Assumptions'!$E$9</f>
        <v>8.5000000000000006E-2</v>
      </c>
      <c r="I7" s="29" t="s">
        <v>150</v>
      </c>
    </row>
    <row r="8" spans="2:9" ht="15" customHeight="1" x14ac:dyDescent="0.2">
      <c r="B8" s="47" t="s">
        <v>55</v>
      </c>
      <c r="C8" s="49"/>
      <c r="D8" s="50">
        <f>D6*D7</f>
        <v>1100</v>
      </c>
      <c r="E8" s="50">
        <f>E6*E7</f>
        <v>2094.4000000000005</v>
      </c>
      <c r="F8" s="50">
        <f>F6*F7</f>
        <v>2345.7280000000005</v>
      </c>
      <c r="G8" s="50">
        <f>G6*G7</f>
        <v>2627.2153600000011</v>
      </c>
      <c r="H8" s="50">
        <f>H6*H7</f>
        <v>2942.4812032000018</v>
      </c>
    </row>
    <row r="9" spans="2:9" ht="15" customHeight="1" x14ac:dyDescent="0.2">
      <c r="B9" s="47" t="s">
        <v>151</v>
      </c>
      <c r="C9" s="49"/>
      <c r="D9" s="50">
        <f>-'Project Assumptions'!$E$5*'Project Assumptions'!$E$13</f>
        <v>-4500</v>
      </c>
      <c r="E9" s="50">
        <f>-'Project Assumptions'!$E$5*'Project Assumptions'!$E$13</f>
        <v>-4500</v>
      </c>
      <c r="F9" s="50">
        <f>-'Project Assumptions'!$E$5*'Project Assumptions'!$E$13</f>
        <v>-4500</v>
      </c>
      <c r="G9" s="50">
        <f>-'Project Assumptions'!$E$5*'Project Assumptions'!$E$13</f>
        <v>-4500</v>
      </c>
      <c r="H9" s="50">
        <f>-'Project Assumptions'!$E$5*'Project Assumptions'!$E$13</f>
        <v>-4500</v>
      </c>
      <c r="I9" s="29" t="s">
        <v>152</v>
      </c>
    </row>
    <row r="10" spans="2:9" ht="15" customHeight="1" x14ac:dyDescent="0.2">
      <c r="B10" s="47" t="s">
        <v>153</v>
      </c>
      <c r="C10" s="49"/>
      <c r="D10" s="50">
        <f>D8+D9</f>
        <v>-3400</v>
      </c>
      <c r="E10" s="50">
        <f>E8+E9</f>
        <v>-2405.5999999999995</v>
      </c>
      <c r="F10" s="50">
        <f>F8+F9</f>
        <v>-2154.2719999999995</v>
      </c>
      <c r="G10" s="50">
        <f>G8+G9</f>
        <v>-1872.7846399999989</v>
      </c>
      <c r="H10" s="50">
        <f>H8+H9</f>
        <v>-1557.5187967999982</v>
      </c>
    </row>
    <row r="11" spans="2:9" ht="15" customHeight="1" x14ac:dyDescent="0.2">
      <c r="B11" s="47" t="s">
        <v>154</v>
      </c>
      <c r="C11" s="49"/>
      <c r="D11" s="50">
        <f>-MAX(D10,0)*'Project Assumptions'!$E$14</f>
        <v>0</v>
      </c>
      <c r="E11" s="50">
        <f>-MAX(E10,0)*'Project Assumptions'!$E$14</f>
        <v>0</v>
      </c>
      <c r="F11" s="50">
        <f>-MAX(F10,0)*'Project Assumptions'!$E$14</f>
        <v>0</v>
      </c>
      <c r="G11" s="50">
        <f>-MAX(G10,0)*'Project Assumptions'!$E$14</f>
        <v>0</v>
      </c>
      <c r="H11" s="50">
        <f>-MAX(H10,0)*'Project Assumptions'!$E$14</f>
        <v>0</v>
      </c>
      <c r="I11" s="29" t="s">
        <v>155</v>
      </c>
    </row>
    <row r="12" spans="2:9" ht="15" customHeight="1" x14ac:dyDescent="0.2">
      <c r="B12" s="47" t="s">
        <v>156</v>
      </c>
      <c r="C12" s="49"/>
      <c r="D12" s="50">
        <f>D10+D11</f>
        <v>-3400</v>
      </c>
      <c r="E12" s="50">
        <f>E10+E11</f>
        <v>-2405.5999999999995</v>
      </c>
      <c r="F12" s="50">
        <f>F10+F11</f>
        <v>-2154.2719999999995</v>
      </c>
      <c r="G12" s="50">
        <f>G10+G11</f>
        <v>-1872.7846399999989</v>
      </c>
      <c r="H12" s="50">
        <f>H10+H11</f>
        <v>-1557.5187967999982</v>
      </c>
    </row>
    <row r="13" spans="2:9" ht="15" customHeight="1" x14ac:dyDescent="0.2">
      <c r="B13" s="47" t="s">
        <v>157</v>
      </c>
      <c r="C13" s="49"/>
      <c r="D13" s="50">
        <f>-D9</f>
        <v>4500</v>
      </c>
      <c r="E13" s="50">
        <f>-E9</f>
        <v>4500</v>
      </c>
      <c r="F13" s="50">
        <f>-F9</f>
        <v>4500</v>
      </c>
      <c r="G13" s="50">
        <f>-G9</f>
        <v>4500</v>
      </c>
      <c r="H13" s="50">
        <f>-H9</f>
        <v>4500</v>
      </c>
    </row>
    <row r="14" spans="2:9" ht="15" customHeight="1" x14ac:dyDescent="0.2">
      <c r="B14" s="47" t="s">
        <v>158</v>
      </c>
      <c r="C14" s="49"/>
      <c r="D14" s="50">
        <f>-D6*'Project Assumptions'!$E$11</f>
        <v>-440</v>
      </c>
      <c r="E14" s="50">
        <f>-E6*'Project Assumptions'!$E$11</f>
        <v>-492.80000000000007</v>
      </c>
      <c r="F14" s="50">
        <f>-F6*'Project Assumptions'!$E$11</f>
        <v>-551.93600000000015</v>
      </c>
      <c r="G14" s="50">
        <f>-G6*'Project Assumptions'!$E$11</f>
        <v>-618.16832000000022</v>
      </c>
      <c r="H14" s="50">
        <f>-H6*'Project Assumptions'!$E$11</f>
        <v>-692.34851840000033</v>
      </c>
    </row>
    <row r="15" spans="2:9" ht="15" customHeight="1" x14ac:dyDescent="0.2">
      <c r="B15" s="47" t="s">
        <v>159</v>
      </c>
      <c r="C15" s="49"/>
      <c r="D15" s="50">
        <f>-D6*'Project Assumptions'!$E$12</f>
        <v>-1760</v>
      </c>
      <c r="E15" s="50">
        <f>-(E6-D6)*'Project Assumptions'!$E$12</f>
        <v>-211.2000000000003</v>
      </c>
      <c r="F15" s="50">
        <f>-(F6-E6)*'Project Assumptions'!$E$12</f>
        <v>-236.54400000000024</v>
      </c>
      <c r="G15" s="50">
        <f>-(G6-F6)*'Project Assumptions'!$E$12</f>
        <v>-264.92928000000046</v>
      </c>
      <c r="H15" s="50">
        <f>-(H6-G6)*'Project Assumptions'!$E$12</f>
        <v>-296.72079360000032</v>
      </c>
      <c r="I15" s="29" t="s">
        <v>160</v>
      </c>
    </row>
    <row r="16" spans="2:9" ht="15" customHeight="1" x14ac:dyDescent="0.2">
      <c r="B16" s="47" t="s">
        <v>161</v>
      </c>
      <c r="C16" s="50">
        <f>C5</f>
        <v>-30000</v>
      </c>
      <c r="D16" s="50">
        <f>D12+D13+D14+D15</f>
        <v>-1100</v>
      </c>
      <c r="E16" s="50">
        <f>E12+E13+E14+E15</f>
        <v>1390.4</v>
      </c>
      <c r="F16" s="50">
        <f>F12+F13+F14+F15</f>
        <v>1557.248</v>
      </c>
      <c r="G16" s="50">
        <f>G12+G13+G14+G15</f>
        <v>1744.1177600000003</v>
      </c>
      <c r="H16" s="50">
        <f>H12+H13+H14+H15</f>
        <v>1953.4118912000013</v>
      </c>
    </row>
    <row r="17" spans="2:9" ht="15" customHeight="1" x14ac:dyDescent="0.2">
      <c r="B17" s="47" t="s">
        <v>162</v>
      </c>
      <c r="C17" s="49"/>
      <c r="D17" s="49"/>
      <c r="E17" s="49"/>
      <c r="F17" s="49"/>
      <c r="G17" s="49"/>
      <c r="H17" s="50">
        <f>H16*(1+'Project Assumptions'!$E$15)/('NPV &amp; IRR'!$C$6-'Project Assumptions'!$E$15)</f>
        <v>32835.182111228525</v>
      </c>
      <c r="I17" s="29" t="s">
        <v>163</v>
      </c>
    </row>
    <row r="18" spans="2:9" ht="15" customHeight="1" x14ac:dyDescent="0.2">
      <c r="B18" s="47" t="s">
        <v>164</v>
      </c>
      <c r="C18" s="50">
        <f>C16</f>
        <v>-30000</v>
      </c>
      <c r="D18" s="50">
        <f>D16</f>
        <v>-1100</v>
      </c>
      <c r="E18" s="50">
        <f>E16</f>
        <v>1390.4</v>
      </c>
      <c r="F18" s="50">
        <f>F16</f>
        <v>1557.248</v>
      </c>
      <c r="G18" s="50">
        <f>G16</f>
        <v>1744.1177600000003</v>
      </c>
      <c r="H18" s="50">
        <f>H16+H17</f>
        <v>34788.594002428523</v>
      </c>
    </row>
    <row r="19" spans="2:9" ht="15" customHeight="1" x14ac:dyDescent="0.2">
      <c r="B19" s="47" t="s">
        <v>165</v>
      </c>
      <c r="C19" s="53">
        <f>1/(1+'NPV &amp; IRR'!$C$6)^0</f>
        <v>1</v>
      </c>
      <c r="D19" s="53">
        <f>1/(1+'NPV &amp; IRR'!$C$6)^1</f>
        <v>0.89890387661285831</v>
      </c>
      <c r="E19" s="53">
        <f>1/(1+'NPV &amp; IRR'!$C$6)^2</f>
        <v>0.80802817938962479</v>
      </c>
      <c r="F19" s="53">
        <f>1/(1+'NPV &amp; IRR'!$C$6)^3</f>
        <v>0.72633966286576379</v>
      </c>
      <c r="G19" s="53">
        <f>1/(1+'NPV &amp; IRR'!$C$6)^4</f>
        <v>0.65290953868771162</v>
      </c>
      <c r="H19" s="53">
        <f>1/(1+'NPV &amp; IRR'!$C$6)^5</f>
        <v>0.58690291540389694</v>
      </c>
      <c r="I19" s="29" t="s">
        <v>166</v>
      </c>
    </row>
    <row r="20" spans="2:9" ht="15" customHeight="1" x14ac:dyDescent="0.2">
      <c r="B20" s="47" t="s">
        <v>167</v>
      </c>
      <c r="C20" s="50">
        <f t="shared" ref="C20:H20" si="0">C18*C19</f>
        <v>-30000</v>
      </c>
      <c r="D20" s="50">
        <f t="shared" si="0"/>
        <v>-988.7942642741441</v>
      </c>
      <c r="E20" s="50">
        <f t="shared" si="0"/>
        <v>1123.4823806233344</v>
      </c>
      <c r="F20" s="50">
        <f t="shared" si="0"/>
        <v>1131.090987318385</v>
      </c>
      <c r="G20" s="50">
        <f t="shared" si="0"/>
        <v>1138.7511220986451</v>
      </c>
      <c r="H20" s="50">
        <f t="shared" si="0"/>
        <v>20417.527242827822</v>
      </c>
    </row>
    <row r="22" spans="2:9" ht="15" customHeight="1" x14ac:dyDescent="0.2">
      <c r="B22" s="54" t="s">
        <v>168</v>
      </c>
      <c r="C22" s="55">
        <f>SUM(C20:H20)</f>
        <v>-7177.9425314059554</v>
      </c>
    </row>
    <row r="23" spans="2:9" ht="15" customHeight="1" x14ac:dyDescent="0.2">
      <c r="B23" s="54" t="s">
        <v>20</v>
      </c>
      <c r="C23" s="56">
        <f>IRR(C18:H18)</f>
        <v>5.1798093407533718E-2</v>
      </c>
    </row>
    <row r="24" spans="2:9" ht="15" customHeight="1" x14ac:dyDescent="0.2">
      <c r="B24" s="57" t="s">
        <v>169</v>
      </c>
      <c r="C24" s="50">
        <f>SUM(C20:G20)+(H16*H19)</f>
        <v>-26449.006640303858</v>
      </c>
    </row>
  </sheetData>
  <mergeCells count="1">
    <mergeCell ref="B3:I3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K27"/>
  <sheetViews>
    <sheetView showGridLines="0" zoomScaleNormal="100" workbookViewId="0">
      <selection activeCell="H11" sqref="H11"/>
    </sheetView>
  </sheetViews>
  <sheetFormatPr baseColWidth="10" defaultColWidth="8.6640625" defaultRowHeight="15" x14ac:dyDescent="0.2"/>
  <cols>
    <col min="1" max="1" width="3" customWidth="1"/>
    <col min="2" max="2" width="38" customWidth="1"/>
    <col min="3" max="7" width="16" customWidth="1"/>
    <col min="8" max="8" width="44" customWidth="1"/>
  </cols>
  <sheetData>
    <row r="2" spans="2:11" ht="17.25" customHeight="1" x14ac:dyDescent="0.2">
      <c r="B2" s="26" t="s">
        <v>174</v>
      </c>
      <c r="C2" s="15"/>
      <c r="D2" s="15"/>
      <c r="E2" s="15"/>
      <c r="F2" s="15"/>
      <c r="G2" s="15"/>
      <c r="H2" s="15"/>
    </row>
    <row r="4" spans="2:11" ht="17.25" customHeight="1" x14ac:dyDescent="0.25">
      <c r="B4" s="16" t="s">
        <v>175</v>
      </c>
      <c r="C4" s="17"/>
      <c r="D4" s="17"/>
      <c r="E4" s="17"/>
      <c r="F4" s="17"/>
      <c r="G4" s="17"/>
      <c r="H4" s="17"/>
      <c r="I4" s="17"/>
      <c r="J4" s="17"/>
      <c r="K4" s="17"/>
    </row>
    <row r="6" spans="2:11" ht="15" customHeight="1" x14ac:dyDescent="0.2">
      <c r="B6" s="54" t="s">
        <v>176</v>
      </c>
      <c r="C6" s="58">
        <f>C15*C11+C16*C14</f>
        <v>0.11246600000000001</v>
      </c>
      <c r="H6" s="13" t="s">
        <v>177</v>
      </c>
    </row>
    <row r="8" spans="2:11" ht="15" customHeight="1" x14ac:dyDescent="0.2">
      <c r="B8" s="33" t="s">
        <v>178</v>
      </c>
      <c r="C8" s="45">
        <v>6.7000000000000004E-2</v>
      </c>
      <c r="H8" s="29" t="s">
        <v>179</v>
      </c>
    </row>
    <row r="9" spans="2:11" ht="15" customHeight="1" x14ac:dyDescent="0.2">
      <c r="B9" s="33" t="s">
        <v>180</v>
      </c>
      <c r="C9" s="45">
        <v>0.06</v>
      </c>
      <c r="H9" s="29" t="s">
        <v>181</v>
      </c>
    </row>
    <row r="10" spans="2:11" ht="15" customHeight="1" x14ac:dyDescent="0.2">
      <c r="B10" s="33" t="s">
        <v>182</v>
      </c>
      <c r="C10" s="59">
        <v>1.05</v>
      </c>
      <c r="H10" s="29" t="s">
        <v>183</v>
      </c>
    </row>
    <row r="11" spans="2:11" ht="15" customHeight="1" x14ac:dyDescent="0.2">
      <c r="B11" s="33" t="s">
        <v>184</v>
      </c>
      <c r="C11" s="34">
        <f>C8+C10*C9</f>
        <v>0.13</v>
      </c>
      <c r="H11" s="29" t="s">
        <v>185</v>
      </c>
    </row>
    <row r="12" spans="2:11" ht="15" customHeight="1" x14ac:dyDescent="0.2">
      <c r="B12" s="33" t="s">
        <v>186</v>
      </c>
      <c r="C12" s="45">
        <v>0.08</v>
      </c>
      <c r="H12" s="29" t="s">
        <v>187</v>
      </c>
    </row>
    <row r="13" spans="2:11" ht="15" customHeight="1" x14ac:dyDescent="0.2">
      <c r="B13" s="33" t="s">
        <v>188</v>
      </c>
      <c r="C13" s="45">
        <v>0.25169999999999998</v>
      </c>
      <c r="H13" s="29" t="s">
        <v>189</v>
      </c>
    </row>
    <row r="14" spans="2:11" ht="15" customHeight="1" x14ac:dyDescent="0.2">
      <c r="B14" s="33" t="s">
        <v>190</v>
      </c>
      <c r="C14" s="34">
        <f>C12*(1-C13)</f>
        <v>5.9864000000000001E-2</v>
      </c>
      <c r="H14" s="29" t="s">
        <v>191</v>
      </c>
    </row>
    <row r="15" spans="2:11" ht="15" customHeight="1" x14ac:dyDescent="0.2">
      <c r="B15" s="33" t="s">
        <v>192</v>
      </c>
      <c r="C15" s="45">
        <v>0.75</v>
      </c>
      <c r="H15" s="29" t="s">
        <v>193</v>
      </c>
    </row>
    <row r="16" spans="2:11" ht="15" customHeight="1" x14ac:dyDescent="0.2">
      <c r="B16" s="33" t="s">
        <v>194</v>
      </c>
      <c r="C16" s="45">
        <f>1-C15</f>
        <v>0.25</v>
      </c>
      <c r="H16" s="29" t="s">
        <v>195</v>
      </c>
    </row>
    <row r="18" spans="2:11" ht="17.25" customHeight="1" x14ac:dyDescent="0.25">
      <c r="B18" s="16" t="s">
        <v>196</v>
      </c>
      <c r="C18" s="17"/>
      <c r="D18" s="17"/>
      <c r="E18" s="17"/>
      <c r="F18" s="17"/>
      <c r="G18" s="17"/>
      <c r="H18" s="17"/>
      <c r="I18" s="17"/>
      <c r="J18" s="17"/>
      <c r="K18" s="17"/>
    </row>
    <row r="19" spans="2:11" ht="15" customHeight="1" x14ac:dyDescent="0.2">
      <c r="B19" s="27" t="s">
        <v>42</v>
      </c>
      <c r="C19" s="18" t="s">
        <v>15</v>
      </c>
      <c r="D19" s="18" t="s">
        <v>16</v>
      </c>
      <c r="E19" s="18" t="s">
        <v>17</v>
      </c>
      <c r="F19" s="27" t="s">
        <v>38</v>
      </c>
    </row>
    <row r="20" spans="2:11" ht="15" customHeight="1" x14ac:dyDescent="0.2">
      <c r="B20" s="19" t="s">
        <v>18</v>
      </c>
      <c r="C20" s="20">
        <f>-'P1 Model'!C5</f>
        <v>30000</v>
      </c>
      <c r="D20" s="20">
        <f>-'P2 Model'!C5</f>
        <v>30000</v>
      </c>
      <c r="E20" s="20">
        <f>-'P3 Model'!C5</f>
        <v>30000</v>
      </c>
      <c r="F20" s="60" t="s">
        <v>197</v>
      </c>
    </row>
    <row r="21" spans="2:11" ht="15" customHeight="1" x14ac:dyDescent="0.2">
      <c r="B21" s="21" t="s">
        <v>19</v>
      </c>
      <c r="C21" s="22">
        <f>'P1 Model'!C22</f>
        <v>4681.7370355703351</v>
      </c>
      <c r="D21" s="22">
        <f>'P2 Model'!C22</f>
        <v>23835.106524760035</v>
      </c>
      <c r="E21" s="20">
        <f>'P3 Model'!C22</f>
        <v>-7177.9425314059554</v>
      </c>
      <c r="F21" s="60" t="s">
        <v>198</v>
      </c>
    </row>
    <row r="22" spans="2:11" ht="15" customHeight="1" x14ac:dyDescent="0.2">
      <c r="B22" s="19" t="s">
        <v>169</v>
      </c>
      <c r="C22" s="20">
        <f>'P1 Model'!C24</f>
        <v>-22405.940334169743</v>
      </c>
      <c r="D22" s="20">
        <f>'P2 Model'!C24</f>
        <v>-16965.312604543542</v>
      </c>
      <c r="E22" s="20">
        <f>'P3 Model'!C24</f>
        <v>-26449.006640303858</v>
      </c>
      <c r="F22" s="60" t="s">
        <v>199</v>
      </c>
    </row>
    <row r="23" spans="2:11" ht="15" customHeight="1" x14ac:dyDescent="0.2">
      <c r="B23" s="21" t="s">
        <v>20</v>
      </c>
      <c r="C23" s="23">
        <f>'P1 Model'!C23</f>
        <v>0.14773103965730616</v>
      </c>
      <c r="D23" s="23">
        <f>'P2 Model'!C23</f>
        <v>0.26746997568972142</v>
      </c>
      <c r="E23" s="24">
        <f>'P3 Model'!C23</f>
        <v>5.1798093407533718E-2</v>
      </c>
      <c r="F23" s="60" t="s">
        <v>200</v>
      </c>
    </row>
    <row r="24" spans="2:11" ht="15" customHeight="1" x14ac:dyDescent="0.2">
      <c r="B24" s="19" t="s">
        <v>21</v>
      </c>
      <c r="C24" s="34">
        <f>C23-$C$6</f>
        <v>3.5265039657306152E-2</v>
      </c>
      <c r="D24" s="34">
        <f>D23-$C$6</f>
        <v>0.15500397568972141</v>
      </c>
      <c r="E24" s="34">
        <f>E23-$C$6</f>
        <v>-6.0667906592466292E-2</v>
      </c>
      <c r="F24" s="60" t="s">
        <v>201</v>
      </c>
    </row>
    <row r="25" spans="2:11" ht="15" customHeight="1" x14ac:dyDescent="0.2">
      <c r="B25" s="19" t="s">
        <v>202</v>
      </c>
      <c r="C25" s="61">
        <f>C21/(-'P1 Model'!C5)+1</f>
        <v>1.1560579011856777</v>
      </c>
      <c r="D25" s="61">
        <f>D21/(-'P2 Model'!C5)+1</f>
        <v>1.7945035508253344</v>
      </c>
      <c r="E25" s="61">
        <f>E21/(-'P3 Model'!C5)+1</f>
        <v>0.76073524895313482</v>
      </c>
      <c r="F25" s="60" t="s">
        <v>203</v>
      </c>
    </row>
    <row r="27" spans="2:11" ht="30" customHeight="1" x14ac:dyDescent="0.2">
      <c r="B27" s="8" t="s">
        <v>204</v>
      </c>
      <c r="C27" s="8"/>
      <c r="D27" s="8"/>
      <c r="E27" s="8"/>
      <c r="F27" s="8"/>
      <c r="G27" s="8"/>
      <c r="H27" s="8"/>
    </row>
  </sheetData>
  <mergeCells count="1">
    <mergeCell ref="B27:H27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E19"/>
  <sheetViews>
    <sheetView showGridLines="0" zoomScaleNormal="100" workbookViewId="0"/>
  </sheetViews>
  <sheetFormatPr baseColWidth="10" defaultColWidth="8.6640625" defaultRowHeight="15" x14ac:dyDescent="0.2"/>
  <cols>
    <col min="1" max="1" width="3" customWidth="1"/>
    <col min="2" max="2" width="5" customWidth="1"/>
    <col min="3" max="3" width="52" customWidth="1"/>
    <col min="4" max="4" width="78" customWidth="1"/>
    <col min="5" max="5" width="28" customWidth="1"/>
  </cols>
  <sheetData>
    <row r="2" spans="2:5" ht="17.25" customHeight="1" x14ac:dyDescent="0.2">
      <c r="B2" s="26" t="s">
        <v>205</v>
      </c>
      <c r="C2" s="15"/>
      <c r="D2" s="15"/>
      <c r="E2" s="15"/>
    </row>
    <row r="4" spans="2:5" ht="15" customHeight="1" x14ac:dyDescent="0.2">
      <c r="B4" s="31" t="s">
        <v>206</v>
      </c>
      <c r="C4" s="31" t="s">
        <v>207</v>
      </c>
      <c r="D4" s="31" t="s">
        <v>208</v>
      </c>
      <c r="E4" s="31" t="s">
        <v>209</v>
      </c>
    </row>
    <row r="5" spans="2:5" ht="30" customHeight="1" x14ac:dyDescent="0.2">
      <c r="B5" s="62">
        <v>1</v>
      </c>
      <c r="C5" s="63" t="s">
        <v>210</v>
      </c>
      <c r="D5" s="64" t="s">
        <v>211</v>
      </c>
      <c r="E5" s="63" t="s">
        <v>212</v>
      </c>
    </row>
    <row r="6" spans="2:5" ht="30" customHeight="1" x14ac:dyDescent="0.2">
      <c r="B6" s="62">
        <v>2</v>
      </c>
      <c r="C6" s="63" t="s">
        <v>213</v>
      </c>
      <c r="D6" s="64" t="s">
        <v>214</v>
      </c>
      <c r="E6" s="63" t="s">
        <v>215</v>
      </c>
    </row>
    <row r="7" spans="2:5" ht="30" customHeight="1" x14ac:dyDescent="0.2">
      <c r="B7" s="62">
        <v>3</v>
      </c>
      <c r="C7" s="63" t="s">
        <v>216</v>
      </c>
      <c r="D7" s="64" t="s">
        <v>217</v>
      </c>
      <c r="E7" s="63" t="s">
        <v>218</v>
      </c>
    </row>
    <row r="8" spans="2:5" ht="30" customHeight="1" x14ac:dyDescent="0.2">
      <c r="B8" s="62">
        <v>4</v>
      </c>
      <c r="C8" s="63" t="s">
        <v>219</v>
      </c>
      <c r="D8" s="64" t="s">
        <v>220</v>
      </c>
      <c r="E8" s="63" t="s">
        <v>221</v>
      </c>
    </row>
    <row r="9" spans="2:5" ht="30" customHeight="1" x14ac:dyDescent="0.2">
      <c r="B9" s="62">
        <v>5</v>
      </c>
      <c r="C9" s="63" t="s">
        <v>222</v>
      </c>
      <c r="D9" s="64" t="s">
        <v>223</v>
      </c>
      <c r="E9" s="63" t="s">
        <v>224</v>
      </c>
    </row>
    <row r="10" spans="2:5" ht="30" customHeight="1" x14ac:dyDescent="0.2">
      <c r="B10" s="62">
        <v>6</v>
      </c>
      <c r="C10" s="63" t="s">
        <v>225</v>
      </c>
      <c r="D10" s="64" t="s">
        <v>226</v>
      </c>
      <c r="E10" s="63" t="s">
        <v>227</v>
      </c>
    </row>
    <row r="11" spans="2:5" ht="30" customHeight="1" x14ac:dyDescent="0.2">
      <c r="B11" s="62">
        <v>7</v>
      </c>
      <c r="C11" s="63" t="s">
        <v>228</v>
      </c>
      <c r="D11" s="64" t="s">
        <v>229</v>
      </c>
      <c r="E11" s="63" t="s">
        <v>230</v>
      </c>
    </row>
    <row r="12" spans="2:5" ht="30" customHeight="1" x14ac:dyDescent="0.2">
      <c r="B12" s="62">
        <v>8</v>
      </c>
      <c r="C12" s="63" t="s">
        <v>231</v>
      </c>
      <c r="D12" s="64" t="s">
        <v>232</v>
      </c>
      <c r="E12" s="63" t="s">
        <v>233</v>
      </c>
    </row>
    <row r="13" spans="2:5" ht="30" customHeight="1" x14ac:dyDescent="0.2">
      <c r="B13" s="62">
        <v>9</v>
      </c>
      <c r="C13" s="63" t="s">
        <v>234</v>
      </c>
      <c r="D13" s="64" t="s">
        <v>235</v>
      </c>
      <c r="E13" s="63" t="s">
        <v>236</v>
      </c>
    </row>
    <row r="14" spans="2:5" ht="30" customHeight="1" x14ac:dyDescent="0.2">
      <c r="B14" s="62">
        <v>10</v>
      </c>
      <c r="C14" s="63" t="s">
        <v>237</v>
      </c>
      <c r="D14" s="64" t="s">
        <v>238</v>
      </c>
      <c r="E14" s="63" t="s">
        <v>239</v>
      </c>
    </row>
    <row r="15" spans="2:5" ht="30" customHeight="1" x14ac:dyDescent="0.2">
      <c r="B15" s="62">
        <v>11</v>
      </c>
      <c r="C15" s="63" t="s">
        <v>240</v>
      </c>
      <c r="D15" s="64" t="s">
        <v>241</v>
      </c>
      <c r="E15" s="63" t="s">
        <v>242</v>
      </c>
    </row>
    <row r="16" spans="2:5" ht="30" customHeight="1" x14ac:dyDescent="0.2">
      <c r="B16" s="62">
        <v>12</v>
      </c>
      <c r="C16" s="63" t="s">
        <v>243</v>
      </c>
      <c r="D16" s="64" t="s">
        <v>244</v>
      </c>
      <c r="E16" s="63" t="s">
        <v>245</v>
      </c>
    </row>
    <row r="17" spans="2:5" ht="30" customHeight="1" x14ac:dyDescent="0.2">
      <c r="B17" s="62">
        <v>13</v>
      </c>
      <c r="C17" s="63" t="s">
        <v>246</v>
      </c>
      <c r="D17" s="64" t="s">
        <v>247</v>
      </c>
      <c r="E17" s="63" t="s">
        <v>248</v>
      </c>
    </row>
    <row r="19" spans="2:5" ht="39.75" customHeight="1" x14ac:dyDescent="0.2">
      <c r="B19" s="1" t="s">
        <v>249</v>
      </c>
      <c r="C19" s="1"/>
      <c r="D19" s="1"/>
      <c r="E19" s="1"/>
    </row>
  </sheetData>
  <mergeCells count="1">
    <mergeCell ref="B19:E19"/>
  </mergeCells>
  <hyperlinks>
    <hyperlink ref="D5" r:id="rId1" xr:uid="{00000000-0004-0000-0900-000000000000}"/>
    <hyperlink ref="D6" r:id="rId2" xr:uid="{00000000-0004-0000-0900-000001000000}"/>
    <hyperlink ref="D7" r:id="rId3" xr:uid="{00000000-0004-0000-0900-000002000000}"/>
    <hyperlink ref="D8" r:id="rId4" xr:uid="{00000000-0004-0000-0900-000003000000}"/>
    <hyperlink ref="D9" r:id="rId5" xr:uid="{00000000-0004-0000-0900-000004000000}"/>
    <hyperlink ref="D10" r:id="rId6" xr:uid="{00000000-0004-0000-0900-000005000000}"/>
    <hyperlink ref="D11" r:id="rId7" xr:uid="{00000000-0004-0000-0900-000006000000}"/>
    <hyperlink ref="D12" r:id="rId8" xr:uid="{00000000-0004-0000-0900-000007000000}"/>
    <hyperlink ref="D13" r:id="rId9" xr:uid="{00000000-0004-0000-0900-000008000000}"/>
    <hyperlink ref="D14" r:id="rId10" xr:uid="{00000000-0004-0000-0900-000009000000}"/>
    <hyperlink ref="D15" r:id="rId11" xr:uid="{00000000-0004-0000-0900-00000A000000}"/>
    <hyperlink ref="D16" r:id="rId12" xr:uid="{00000000-0004-0000-0900-00000B000000}"/>
    <hyperlink ref="D17" r:id="rId13" xr:uid="{00000000-0004-0000-0900-00000C000000}"/>
  </hyperlink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Cover</vt:lpstr>
      <vt:lpstr>Executive Summary</vt:lpstr>
      <vt:lpstr>Reinvestment Capacity</vt:lpstr>
      <vt:lpstr>Project Assumptions</vt:lpstr>
      <vt:lpstr>P1 Model</vt:lpstr>
      <vt:lpstr>P2 Model</vt:lpstr>
      <vt:lpstr>P3 Model</vt:lpstr>
      <vt:lpstr>NPV &amp; IRR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Romit Banerjee - 21277030197</cp:lastModifiedBy>
  <cp:revision>0</cp:revision>
  <dcterms:created xsi:type="dcterms:W3CDTF">2026-06-22T18:07:06Z</dcterms:created>
  <dcterms:modified xsi:type="dcterms:W3CDTF">2026-06-22T19:12:28Z</dcterms:modified>
  <dc:language>en-US</dc:language>
</cp:coreProperties>
</file>